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23fe189c746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c825e256114f17bd348e45edfa779c.psmdcp" Id="R0d054675acb847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2"/>
  </x:bookViews>
  <x:sheets>
    <x:sheet name="Параметры" sheetId="1" r:id="rId2"/>
    <x:sheet name="Категории" sheetId="4" r:id="rId3"/>
    <x:sheet name="По категориям" sheetId="7" r:id="rId4"/>
    <x:sheet name="Предметы" sheetId="3" r:id="rId5"/>
    <x:sheet name="Уровни" sheetId="2" r:id="rId6"/>
    <x:sheet name="Удалённые" sheetId="5" r:id="rId7"/>
    <x:sheet name="Отклонённые" sheetId="6" r:id="rId8"/>
  </x:sheets>
  <x:definedNames>
    <x:definedName name="_xlnm._FilterDatabase" localSheetId="3" hidden="1">Предметы!$A$1:$N$174</x:definedName>
  </x:definedNames>
  <x:calcPr calcId="125725" calcMode="auto"/>
</x:workbook>
</file>

<file path=xl/calcChain.xml><?xml version="1.0" encoding="utf-8"?>
<x:calcChain xmlns:x="http://schemas.openxmlformats.org/spreadsheetml/2006/main">
  <x:c r="B6" i="1"/>
  <x:c r="B8" i="1"/>
  <x:c r="I2" i="3"/>
  <x:c r="J2" i="3"/>
  <x:c r="K2" i="3"/>
  <x:c r="L2" i="3"/>
  <x:c r="M2" i="3"/>
  <x:c r="N2" i="3"/>
  <x:c r="I3" i="3"/>
  <x:c r="J3" i="3"/>
  <x:c r="K3" i="3"/>
  <x:c r="L3" i="3"/>
  <x:c r="M3" i="3"/>
  <x:c r="N3" i="3"/>
  <x:c r="I4" i="3"/>
  <x:c r="J4" i="3"/>
  <x:c r="K4" i="3"/>
  <x:c r="L4" i="3"/>
  <x:c r="M4" i="3"/>
  <x:c r="N4" i="3"/>
  <x:c r="I5" i="3"/>
  <x:c r="J5" i="3"/>
  <x:c r="K5" i="3"/>
  <x:c r="L5" i="3"/>
  <x:c r="M5" i="3"/>
  <x:c r="N5" i="3"/>
  <x:c r="I6" i="3"/>
  <x:c r="J6" i="3"/>
  <x:c r="K6" i="3"/>
  <x:c r="L6" i="3"/>
  <x:c r="M6" i="3"/>
  <x:c r="N6" i="3"/>
  <x:c r="I7" i="3"/>
  <x:c r="J7" i="3"/>
  <x:c r="K7" i="3"/>
  <x:c r="L7" i="3"/>
  <x:c r="M7" i="3"/>
  <x:c r="N7" i="3"/>
  <x:c r="I8" i="3"/>
  <x:c r="J8" i="3"/>
  <x:c r="K8" i="3"/>
  <x:c r="L8" i="3"/>
  <x:c r="M8" i="3"/>
  <x:c r="N8" i="3"/>
  <x:c r="I9" i="3"/>
  <x:c r="J9" i="3"/>
  <x:c r="K9" i="3"/>
  <x:c r="L9" i="3"/>
  <x:c r="M9" i="3"/>
  <x:c r="N9" i="3"/>
  <x:c r="I10" i="3"/>
  <x:c r="J10" i="3"/>
  <x:c r="K10" i="3"/>
  <x:c r="L10" i="3"/>
  <x:c r="M10" i="3"/>
  <x:c r="N10" i="3"/>
  <x:c r="I11" i="3"/>
  <x:c r="J11" i="3"/>
  <x:c r="K11" i="3"/>
  <x:c r="L11" i="3"/>
  <x:c r="M11" i="3"/>
  <x:c r="N11" i="3"/>
  <x:c r="I12" i="3"/>
  <x:c r="J12" i="3"/>
  <x:c r="K12" i="3"/>
  <x:c r="L12" i="3"/>
  <x:c r="M12" i="3"/>
  <x:c r="N12" i="3"/>
  <x:c r="I13" i="3"/>
  <x:c r="J13" i="3"/>
  <x:c r="K13" i="3"/>
  <x:c r="L13" i="3"/>
  <x:c r="M13" i="3"/>
  <x:c r="N13" i="3"/>
  <x:c r="I14" i="3"/>
  <x:c r="J14" i="3"/>
  <x:c r="K14" i="3"/>
  <x:c r="L14" i="3"/>
  <x:c r="M14" i="3"/>
  <x:c r="N14" i="3"/>
  <x:c r="I15" i="3"/>
  <x:c r="J15" i="3"/>
  <x:c r="K15" i="3"/>
  <x:c r="L15" i="3"/>
  <x:c r="M15" i="3"/>
  <x:c r="N15" i="3"/>
  <x:c r="I16" i="3"/>
  <x:c r="J16" i="3"/>
  <x:c r="K16" i="3"/>
  <x:c r="L16" i="3"/>
  <x:c r="M16" i="3"/>
  <x:c r="N16" i="3"/>
  <x:c r="I17" i="3"/>
  <x:c r="J17" i="3"/>
  <x:c r="K17" i="3"/>
  <x:c r="L17" i="3"/>
  <x:c r="M17" i="3"/>
  <x:c r="N17" i="3"/>
  <x:c r="I18" i="3"/>
  <x:c r="J18" i="3"/>
  <x:c r="K18" i="3"/>
  <x:c r="L18" i="3"/>
  <x:c r="M18" i="3"/>
  <x:c r="N18" i="3"/>
  <x:c r="I19" i="3"/>
  <x:c r="J19" i="3"/>
  <x:c r="K19" i="3"/>
  <x:c r="L19" i="3"/>
  <x:c r="M19" i="3"/>
  <x:c r="N19" i="3"/>
  <x:c r="I20" i="3"/>
  <x:c r="J20" i="3"/>
  <x:c r="K20" i="3"/>
  <x:c r="L20" i="3"/>
  <x:c r="M20" i="3"/>
  <x:c r="N20" i="3"/>
  <x:c r="I21" i="3"/>
  <x:c r="J21" i="3"/>
  <x:c r="K21" i="3"/>
  <x:c r="L21" i="3"/>
  <x:c r="M21" i="3"/>
  <x:c r="N21" i="3"/>
  <x:c r="I22" i="3"/>
  <x:c r="J22" i="3"/>
  <x:c r="K22" i="3"/>
  <x:c r="L22" i="3"/>
  <x:c r="M22" i="3"/>
  <x:c r="N22" i="3"/>
  <x:c r="I23" i="3"/>
  <x:c r="J23" i="3"/>
  <x:c r="K23" i="3"/>
  <x:c r="L23" i="3"/>
  <x:c r="M23" i="3"/>
  <x:c r="N23" i="3"/>
  <x:c r="I24" i="3"/>
  <x:c r="J24" i="3"/>
  <x:c r="K24" i="3"/>
  <x:c r="L24" i="3"/>
  <x:c r="M24" i="3"/>
  <x:c r="N24" i="3"/>
  <x:c r="I25" i="3"/>
  <x:c r="J25" i="3"/>
  <x:c r="K25" i="3"/>
  <x:c r="L25" i="3"/>
  <x:c r="M25" i="3"/>
  <x:c r="N25" i="3"/>
  <x:c r="I26" i="3"/>
  <x:c r="J26" i="3"/>
  <x:c r="K26" i="3"/>
  <x:c r="L26" i="3"/>
  <x:c r="M26" i="3"/>
  <x:c r="N26" i="3"/>
  <x:c r="I27" i="3"/>
  <x:c r="J27" i="3"/>
  <x:c r="K27" i="3"/>
  <x:c r="L27" i="3"/>
  <x:c r="M27" i="3"/>
  <x:c r="N27" i="3"/>
  <x:c r="I28" i="3"/>
  <x:c r="J28" i="3"/>
  <x:c r="K28" i="3"/>
  <x:c r="L28" i="3"/>
  <x:c r="M28" i="3"/>
  <x:c r="N28" i="3"/>
  <x:c r="I29" i="3"/>
  <x:c r="J29" i="3"/>
  <x:c r="K29" i="3"/>
  <x:c r="L29" i="3"/>
  <x:c r="M29" i="3"/>
  <x:c r="N29" i="3"/>
  <x:c r="I30" i="3"/>
  <x:c r="J30" i="3"/>
  <x:c r="K30" i="3"/>
  <x:c r="L30" i="3"/>
  <x:c r="M30" i="3"/>
  <x:c r="N30" i="3"/>
  <x:c r="I31" i="3"/>
  <x:c r="J31" i="3"/>
  <x:c r="K31" i="3"/>
  <x:c r="L31" i="3"/>
  <x:c r="M31" i="3"/>
  <x:c r="N31" i="3"/>
  <x:c r="I32" i="3"/>
  <x:c r="J32" i="3"/>
  <x:c r="K32" i="3"/>
  <x:c r="L32" i="3"/>
  <x:c r="M32" i="3"/>
  <x:c r="N32" i="3"/>
  <x:c r="I33" i="3"/>
  <x:c r="J33" i="3"/>
  <x:c r="K33" i="3"/>
  <x:c r="L33" i="3"/>
  <x:c r="M33" i="3"/>
  <x:c r="N33" i="3"/>
  <x:c r="I34" i="3"/>
  <x:c r="J34" i="3"/>
  <x:c r="K34" i="3"/>
  <x:c r="L34" i="3"/>
  <x:c r="M34" i="3"/>
  <x:c r="N34" i="3"/>
  <x:c r="I35" i="3"/>
  <x:c r="J35" i="3"/>
  <x:c r="K35" i="3"/>
  <x:c r="L35" i="3"/>
  <x:c r="M35" i="3"/>
  <x:c r="N35" i="3"/>
  <x:c r="I36" i="3"/>
  <x:c r="J36" i="3"/>
  <x:c r="K36" i="3"/>
  <x:c r="L36" i="3"/>
  <x:c r="M36" i="3"/>
  <x:c r="N36" i="3"/>
  <x:c r="I37" i="3"/>
  <x:c r="J37" i="3"/>
  <x:c r="K37" i="3"/>
  <x:c r="L37" i="3"/>
  <x:c r="M37" i="3"/>
  <x:c r="N37" i="3"/>
  <x:c r="I38" i="3"/>
  <x:c r="J38" i="3"/>
  <x:c r="K38" i="3"/>
  <x:c r="L38" i="3"/>
  <x:c r="M38" i="3"/>
  <x:c r="N38" i="3"/>
  <x:c r="I39" i="3"/>
  <x:c r="J39" i="3"/>
  <x:c r="K39" i="3"/>
  <x:c r="L39" i="3"/>
  <x:c r="M39" i="3"/>
  <x:c r="N39" i="3"/>
  <x:c r="I40" i="3"/>
  <x:c r="J40" i="3"/>
  <x:c r="K40" i="3"/>
  <x:c r="L40" i="3"/>
  <x:c r="M40" i="3"/>
  <x:c r="N40" i="3"/>
  <x:c r="I41" i="3"/>
  <x:c r="J41" i="3"/>
  <x:c r="K41" i="3"/>
  <x:c r="L41" i="3"/>
  <x:c r="M41" i="3"/>
  <x:c r="N41" i="3"/>
  <x:c r="I42" i="3"/>
  <x:c r="J42" i="3"/>
  <x:c r="K42" i="3"/>
  <x:c r="L42" i="3"/>
  <x:c r="M42" i="3"/>
  <x:c r="N42" i="3"/>
  <x:c r="I43" i="3"/>
  <x:c r="J43" i="3"/>
  <x:c r="K43" i="3"/>
  <x:c r="L43" i="3"/>
  <x:c r="M43" i="3"/>
  <x:c r="N43" i="3"/>
  <x:c r="I44" i="3"/>
  <x:c r="J44" i="3"/>
  <x:c r="K44" i="3"/>
  <x:c r="L44" i="3"/>
  <x:c r="M44" i="3"/>
  <x:c r="N44" i="3"/>
  <x:c r="I45" i="3"/>
  <x:c r="J45" i="3"/>
  <x:c r="K45" i="3"/>
  <x:c r="L45" i="3"/>
  <x:c r="M45" i="3"/>
  <x:c r="N45" i="3"/>
  <x:c r="I46" i="3"/>
  <x:c r="J46" i="3"/>
  <x:c r="K46" i="3"/>
  <x:c r="L46" i="3"/>
  <x:c r="M46" i="3"/>
  <x:c r="N46" i="3"/>
  <x:c r="I47" i="3"/>
  <x:c r="J47" i="3"/>
  <x:c r="K47" i="3"/>
  <x:c r="L47" i="3"/>
  <x:c r="M47" i="3"/>
  <x:c r="N47" i="3"/>
  <x:c r="I48" i="3"/>
  <x:c r="J48" i="3"/>
  <x:c r="K48" i="3"/>
  <x:c r="L48" i="3"/>
  <x:c r="M48" i="3"/>
  <x:c r="N48" i="3"/>
  <x:c r="I49" i="3"/>
  <x:c r="J49" i="3"/>
  <x:c r="K49" i="3"/>
  <x:c r="L49" i="3"/>
  <x:c r="M49" i="3"/>
  <x:c r="N49" i="3"/>
  <x:c r="I50" i="3"/>
  <x:c r="J50" i="3"/>
  <x:c r="K50" i="3"/>
  <x:c r="L50" i="3"/>
  <x:c r="M50" i="3"/>
  <x:c r="N50" i="3"/>
  <x:c r="I51" i="3"/>
  <x:c r="J51" i="3"/>
  <x:c r="K51" i="3"/>
  <x:c r="L51" i="3"/>
  <x:c r="M51" i="3"/>
  <x:c r="N51" i="3"/>
  <x:c r="I52" i="3"/>
  <x:c r="J52" i="3"/>
  <x:c r="K52" i="3"/>
  <x:c r="L52" i="3"/>
  <x:c r="M52" i="3"/>
  <x:c r="N52" i="3"/>
  <x:c r="I53" i="3"/>
  <x:c r="J53" i="3"/>
  <x:c r="K53" i="3"/>
  <x:c r="L53" i="3"/>
  <x:c r="M53" i="3"/>
  <x:c r="N53" i="3"/>
  <x:c r="I54" i="3"/>
  <x:c r="J54" i="3"/>
  <x:c r="K54" i="3"/>
  <x:c r="L54" i="3"/>
  <x:c r="M54" i="3"/>
  <x:c r="N54" i="3"/>
  <x:c r="I55" i="3"/>
  <x:c r="J55" i="3"/>
  <x:c r="K55" i="3"/>
  <x:c r="L55" i="3"/>
  <x:c r="M55" i="3"/>
  <x:c r="N55" i="3"/>
  <x:c r="I56" i="3"/>
  <x:c r="J56" i="3"/>
  <x:c r="K56" i="3"/>
  <x:c r="L56" i="3"/>
  <x:c r="M56" i="3"/>
  <x:c r="N56" i="3"/>
  <x:c r="I57" i="3"/>
  <x:c r="J57" i="3"/>
  <x:c r="K57" i="3"/>
  <x:c r="L57" i="3"/>
  <x:c r="M57" i="3"/>
  <x:c r="N57" i="3"/>
  <x:c r="I58" i="3"/>
  <x:c r="J58" i="3"/>
  <x:c r="K58" i="3"/>
  <x:c r="L58" i="3"/>
  <x:c r="M58" i="3"/>
  <x:c r="N58" i="3"/>
  <x:c r="I59" i="3"/>
  <x:c r="J59" i="3"/>
  <x:c r="K59" i="3"/>
  <x:c r="L59" i="3"/>
  <x:c r="M59" i="3"/>
  <x:c r="N59" i="3"/>
  <x:c r="I60" i="3"/>
  <x:c r="J60" i="3"/>
  <x:c r="K60" i="3"/>
  <x:c r="L60" i="3"/>
  <x:c r="M60" i="3"/>
  <x:c r="N60" i="3"/>
  <x:c r="I61" i="3"/>
  <x:c r="J61" i="3"/>
  <x:c r="K61" i="3"/>
  <x:c r="L61" i="3"/>
  <x:c r="M61" i="3"/>
  <x:c r="N61" i="3"/>
  <x:c r="I62" i="3"/>
  <x:c r="J62" i="3"/>
  <x:c r="K62" i="3"/>
  <x:c r="L62" i="3"/>
  <x:c r="M62" i="3"/>
  <x:c r="N62" i="3"/>
  <x:c r="I63" i="3"/>
  <x:c r="J63" i="3"/>
  <x:c r="K63" i="3"/>
  <x:c r="L63" i="3"/>
  <x:c r="M63" i="3"/>
  <x:c r="N63" i="3"/>
  <x:c r="I64" i="3"/>
  <x:c r="J64" i="3"/>
  <x:c r="K64" i="3"/>
  <x:c r="L64" i="3"/>
  <x:c r="M64" i="3"/>
  <x:c r="N64" i="3"/>
  <x:c r="I65" i="3"/>
  <x:c r="J65" i="3"/>
  <x:c r="K65" i="3"/>
  <x:c r="L65" i="3"/>
  <x:c r="M65" i="3"/>
  <x:c r="N65" i="3"/>
  <x:c r="I66" i="3"/>
  <x:c r="J66" i="3"/>
  <x:c r="K66" i="3"/>
  <x:c r="L66" i="3"/>
  <x:c r="M66" i="3"/>
  <x:c r="N66" i="3"/>
  <x:c r="I67" i="3"/>
  <x:c r="J67" i="3"/>
  <x:c r="K67" i="3"/>
  <x:c r="L67" i="3"/>
  <x:c r="M67" i="3"/>
  <x:c r="N67" i="3"/>
  <x:c r="I68" i="3"/>
  <x:c r="J68" i="3"/>
  <x:c r="K68" i="3"/>
  <x:c r="L68" i="3"/>
  <x:c r="M68" i="3"/>
  <x:c r="N68" i="3"/>
  <x:c r="I69" i="3"/>
  <x:c r="J69" i="3"/>
  <x:c r="K69" i="3"/>
  <x:c r="L69" i="3"/>
  <x:c r="M69" i="3"/>
  <x:c r="N69" i="3"/>
  <x:c r="I70" i="3"/>
  <x:c r="J70" i="3"/>
  <x:c r="K70" i="3"/>
  <x:c r="L70" i="3"/>
  <x:c r="M70" i="3"/>
  <x:c r="N70" i="3"/>
  <x:c r="I71" i="3"/>
  <x:c r="J71" i="3"/>
  <x:c r="K71" i="3"/>
  <x:c r="L71" i="3"/>
  <x:c r="M71" i="3"/>
  <x:c r="N71" i="3"/>
  <x:c r="I72" i="3"/>
  <x:c r="J72" i="3"/>
  <x:c r="K72" i="3"/>
  <x:c r="L72" i="3"/>
  <x:c r="M72" i="3"/>
  <x:c r="N72" i="3"/>
  <x:c r="I73" i="3"/>
  <x:c r="J73" i="3"/>
  <x:c r="K73" i="3"/>
  <x:c r="L73" i="3"/>
  <x:c r="M73" i="3"/>
  <x:c r="N73" i="3"/>
  <x:c r="I74" i="3"/>
  <x:c r="J74" i="3"/>
  <x:c r="K74" i="3"/>
  <x:c r="L74" i="3"/>
  <x:c r="M74" i="3"/>
  <x:c r="N74" i="3"/>
  <x:c r="I75" i="3"/>
  <x:c r="J75" i="3"/>
  <x:c r="K75" i="3"/>
  <x:c r="L75" i="3"/>
  <x:c r="M75" i="3"/>
  <x:c r="N75" i="3"/>
  <x:c r="I76" i="3"/>
  <x:c r="J76" i="3"/>
  <x:c r="K76" i="3"/>
  <x:c r="L76" i="3"/>
  <x:c r="M76" i="3"/>
  <x:c r="N76" i="3"/>
  <x:c r="I77" i="3"/>
  <x:c r="J77" i="3"/>
  <x:c r="K77" i="3"/>
  <x:c r="L77" i="3"/>
  <x:c r="M77" i="3"/>
  <x:c r="N77" i="3"/>
  <x:c r="I78" i="3"/>
  <x:c r="J78" i="3"/>
  <x:c r="K78" i="3"/>
  <x:c r="L78" i="3"/>
  <x:c r="M78" i="3"/>
  <x:c r="N78" i="3"/>
  <x:c r="I79" i="3"/>
  <x:c r="J79" i="3"/>
  <x:c r="K79" i="3"/>
  <x:c r="L79" i="3"/>
  <x:c r="M79" i="3"/>
  <x:c r="N79" i="3"/>
  <x:c r="I80" i="3"/>
  <x:c r="J80" i="3"/>
  <x:c r="K80" i="3"/>
  <x:c r="L80" i="3"/>
  <x:c r="M80" i="3"/>
  <x:c r="N80" i="3"/>
  <x:c r="I81" i="3"/>
  <x:c r="J81" i="3"/>
  <x:c r="K81" i="3"/>
  <x:c r="L81" i="3"/>
  <x:c r="M81" i="3"/>
  <x:c r="N81" i="3"/>
  <x:c r="I82" i="3"/>
  <x:c r="J82" i="3"/>
  <x:c r="K82" i="3"/>
  <x:c r="L82" i="3"/>
  <x:c r="M82" i="3"/>
  <x:c r="N82" i="3"/>
  <x:c r="I83" i="3"/>
  <x:c r="J83" i="3"/>
  <x:c r="K83" i="3"/>
  <x:c r="L83" i="3"/>
  <x:c r="M83" i="3"/>
  <x:c r="N83" i="3"/>
  <x:c r="I84" i="3"/>
  <x:c r="J84" i="3"/>
  <x:c r="K84" i="3"/>
  <x:c r="L84" i="3"/>
  <x:c r="M84" i="3"/>
  <x:c r="N84" i="3"/>
  <x:c r="I85" i="3"/>
  <x:c r="J85" i="3"/>
  <x:c r="K85" i="3"/>
  <x:c r="L85" i="3"/>
  <x:c r="M85" i="3"/>
  <x:c r="N85" i="3"/>
  <x:c r="I86" i="3"/>
  <x:c r="J86" i="3"/>
  <x:c r="K86" i="3"/>
  <x:c r="L86" i="3"/>
  <x:c r="M86" i="3"/>
  <x:c r="N86" i="3"/>
  <x:c r="I87" i="3"/>
  <x:c r="J87" i="3"/>
  <x:c r="K87" i="3"/>
  <x:c r="L87" i="3"/>
  <x:c r="M87" i="3"/>
  <x:c r="N87" i="3"/>
  <x:c r="I88" i="3"/>
  <x:c r="J88" i="3"/>
  <x:c r="K88" i="3"/>
  <x:c r="L88" i="3"/>
  <x:c r="M88" i="3"/>
  <x:c r="N88" i="3"/>
  <x:c r="I89" i="3"/>
  <x:c r="J89" i="3"/>
  <x:c r="K89" i="3"/>
  <x:c r="L89" i="3"/>
  <x:c r="M89" i="3"/>
  <x:c r="N89" i="3"/>
  <x:c r="I90" i="3"/>
  <x:c r="J90" i="3"/>
  <x:c r="K90" i="3"/>
  <x:c r="L90" i="3"/>
  <x:c r="M90" i="3"/>
  <x:c r="N90" i="3"/>
  <x:c r="I91" i="3"/>
  <x:c r="J91" i="3"/>
  <x:c r="K91" i="3"/>
  <x:c r="L91" i="3"/>
  <x:c r="M91" i="3"/>
  <x:c r="N91" i="3"/>
  <x:c r="I92" i="3"/>
  <x:c r="J92" i="3"/>
  <x:c r="K92" i="3"/>
  <x:c r="L92" i="3"/>
  <x:c r="M92" i="3"/>
  <x:c r="N92" i="3"/>
  <x:c r="I93" i="3"/>
  <x:c r="J93" i="3"/>
  <x:c r="K93" i="3"/>
  <x:c r="L93" i="3"/>
  <x:c r="M93" i="3"/>
  <x:c r="N93" i="3"/>
  <x:c r="I94" i="3"/>
  <x:c r="J94" i="3"/>
  <x:c r="K94" i="3"/>
  <x:c r="L94" i="3"/>
  <x:c r="M94" i="3"/>
  <x:c r="N94" i="3"/>
  <x:c r="I95" i="3"/>
  <x:c r="J95" i="3"/>
  <x:c r="K95" i="3"/>
  <x:c r="L95" i="3"/>
  <x:c r="M95" i="3"/>
  <x:c r="N95" i="3"/>
  <x:c r="I96" i="3"/>
  <x:c r="J96" i="3"/>
  <x:c r="K96" i="3"/>
  <x:c r="L96" i="3"/>
  <x:c r="M96" i="3"/>
  <x:c r="N96" i="3"/>
  <x:c r="I97" i="3"/>
  <x:c r="J97" i="3"/>
  <x:c r="K97" i="3"/>
  <x:c r="L97" i="3"/>
  <x:c r="M97" i="3"/>
  <x:c r="N97" i="3"/>
  <x:c r="I98" i="3"/>
  <x:c r="J98" i="3"/>
  <x:c r="K98" i="3"/>
  <x:c r="L98" i="3"/>
  <x:c r="M98" i="3"/>
  <x:c r="N98" i="3"/>
  <x:c r="I99" i="3"/>
  <x:c r="J99" i="3"/>
  <x:c r="K99" i="3"/>
  <x:c r="L99" i="3"/>
  <x:c r="M99" i="3"/>
  <x:c r="N99" i="3"/>
  <x:c r="I100" i="3"/>
  <x:c r="J100" i="3"/>
  <x:c r="K100" i="3"/>
  <x:c r="L100" i="3"/>
  <x:c r="M100" i="3"/>
  <x:c r="N100" i="3"/>
  <x:c r="I101" i="3"/>
  <x:c r="J101" i="3"/>
  <x:c r="K101" i="3"/>
  <x:c r="L101" i="3"/>
  <x:c r="M101" i="3"/>
  <x:c r="N101" i="3"/>
  <x:c r="I102" i="3"/>
  <x:c r="J102" i="3"/>
  <x:c r="K102" i="3"/>
  <x:c r="L102" i="3"/>
  <x:c r="M102" i="3"/>
  <x:c r="N102" i="3"/>
  <x:c r="I103" i="3"/>
  <x:c r="J103" i="3"/>
  <x:c r="K103" i="3"/>
  <x:c r="L103" i="3"/>
  <x:c r="M103" i="3"/>
  <x:c r="N103" i="3"/>
  <x:c r="I104" i="3"/>
  <x:c r="J104" i="3"/>
  <x:c r="K104" i="3"/>
  <x:c r="L104" i="3"/>
  <x:c r="M104" i="3"/>
  <x:c r="N104" i="3"/>
  <x:c r="I105" i="3"/>
  <x:c r="J105" i="3"/>
  <x:c r="K105" i="3"/>
  <x:c r="L105" i="3"/>
  <x:c r="M105" i="3"/>
  <x:c r="N105" i="3"/>
  <x:c r="I106" i="3"/>
  <x:c r="J106" i="3"/>
  <x:c r="K106" i="3"/>
  <x:c r="L106" i="3"/>
  <x:c r="M106" i="3"/>
  <x:c r="N106" i="3"/>
  <x:c r="I107" i="3"/>
  <x:c r="J107" i="3"/>
  <x:c r="K107" i="3"/>
  <x:c r="L107" i="3"/>
  <x:c r="M107" i="3"/>
  <x:c r="N107" i="3"/>
  <x:c r="I108" i="3"/>
  <x:c r="J108" i="3"/>
  <x:c r="K108" i="3"/>
  <x:c r="L108" i="3"/>
  <x:c r="M108" i="3"/>
  <x:c r="N108" i="3"/>
  <x:c r="I109" i="3"/>
  <x:c r="J109" i="3"/>
  <x:c r="K109" i="3"/>
  <x:c r="L109" i="3"/>
  <x:c r="M109" i="3"/>
  <x:c r="N109" i="3"/>
  <x:c r="I110" i="3"/>
  <x:c r="J110" i="3"/>
  <x:c r="K110" i="3"/>
  <x:c r="L110" i="3"/>
  <x:c r="M110" i="3"/>
  <x:c r="N110" i="3"/>
  <x:c r="I111" i="3"/>
  <x:c r="J111" i="3"/>
  <x:c r="K111" i="3"/>
  <x:c r="L111" i="3"/>
  <x:c r="M111" i="3"/>
  <x:c r="N111" i="3"/>
  <x:c r="I112" i="3"/>
  <x:c r="J112" i="3"/>
  <x:c r="K112" i="3"/>
  <x:c r="L112" i="3"/>
  <x:c r="M112" i="3"/>
  <x:c r="N112" i="3"/>
  <x:c r="I113" i="3"/>
  <x:c r="J113" i="3"/>
  <x:c r="K113" i="3"/>
  <x:c r="L113" i="3"/>
  <x:c r="M113" i="3"/>
  <x:c r="N113" i="3"/>
  <x:c r="I114" i="3"/>
  <x:c r="J114" i="3"/>
  <x:c r="K114" i="3"/>
  <x:c r="L114" i="3"/>
  <x:c r="M114" i="3"/>
  <x:c r="N114" i="3"/>
  <x:c r="I115" i="3"/>
  <x:c r="J115" i="3"/>
  <x:c r="K115" i="3"/>
  <x:c r="L115" i="3"/>
  <x:c r="M115" i="3"/>
  <x:c r="N115" i="3"/>
  <x:c r="I116" i="3"/>
  <x:c r="J116" i="3"/>
  <x:c r="K116" i="3"/>
  <x:c r="L116" i="3"/>
  <x:c r="M116" i="3"/>
  <x:c r="N116" i="3"/>
  <x:c r="I117" i="3"/>
  <x:c r="J117" i="3"/>
  <x:c r="K117" i="3"/>
  <x:c r="L117" i="3"/>
  <x:c r="M117" i="3"/>
  <x:c r="N117" i="3"/>
  <x:c r="I118" i="3"/>
  <x:c r="J118" i="3"/>
  <x:c r="K118" i="3"/>
  <x:c r="L118" i="3"/>
  <x:c r="M118" i="3"/>
  <x:c r="N118" i="3"/>
  <x:c r="I119" i="3"/>
  <x:c r="J119" i="3"/>
  <x:c r="K119" i="3"/>
  <x:c r="L119" i="3"/>
  <x:c r="M119" i="3"/>
  <x:c r="N119" i="3"/>
  <x:c r="I120" i="3"/>
  <x:c r="J120" i="3"/>
  <x:c r="K120" i="3"/>
  <x:c r="L120" i="3"/>
  <x:c r="M120" i="3"/>
  <x:c r="N120" i="3"/>
  <x:c r="I121" i="3"/>
  <x:c r="J121" i="3"/>
  <x:c r="K121" i="3"/>
  <x:c r="L121" i="3"/>
  <x:c r="M121" i="3"/>
  <x:c r="N121" i="3"/>
  <x:c r="I122" i="3"/>
  <x:c r="J122" i="3"/>
  <x:c r="K122" i="3"/>
  <x:c r="L122" i="3"/>
  <x:c r="M122" i="3"/>
  <x:c r="N122" i="3"/>
  <x:c r="I123" i="3"/>
  <x:c r="J123" i="3"/>
  <x:c r="K123" i="3"/>
  <x:c r="L123" i="3"/>
  <x:c r="M123" i="3"/>
  <x:c r="N123" i="3"/>
  <x:c r="I124" i="3"/>
  <x:c r="J124" i="3"/>
  <x:c r="K124" i="3"/>
  <x:c r="L124" i="3"/>
  <x:c r="M124" i="3"/>
  <x:c r="N124" i="3"/>
  <x:c r="I125" i="3"/>
  <x:c r="J125" i="3"/>
  <x:c r="K125" i="3"/>
  <x:c r="L125" i="3"/>
  <x:c r="M125" i="3"/>
  <x:c r="N125" i="3"/>
  <x:c r="I126" i="3"/>
  <x:c r="J126" i="3"/>
  <x:c r="K126" i="3"/>
  <x:c r="L126" i="3"/>
  <x:c r="M126" i="3"/>
  <x:c r="N126" i="3"/>
  <x:c r="I127" i="3"/>
  <x:c r="J127" i="3"/>
  <x:c r="K127" i="3"/>
  <x:c r="L127" i="3"/>
  <x:c r="M127" i="3"/>
  <x:c r="N127" i="3"/>
  <x:c r="I128" i="3"/>
  <x:c r="J128" i="3"/>
  <x:c r="K128" i="3"/>
  <x:c r="L128" i="3"/>
  <x:c r="M128" i="3"/>
  <x:c r="N128" i="3"/>
  <x:c r="I129" i="3"/>
  <x:c r="J129" i="3"/>
  <x:c r="K129" i="3"/>
  <x:c r="L129" i="3"/>
  <x:c r="M129" i="3"/>
  <x:c r="N129" i="3"/>
  <x:c r="I130" i="3"/>
  <x:c r="J130" i="3"/>
  <x:c r="K130" i="3"/>
  <x:c r="L130" i="3"/>
  <x:c r="M130" i="3"/>
  <x:c r="N130" i="3"/>
  <x:c r="I131" i="3"/>
  <x:c r="J131" i="3"/>
  <x:c r="K131" i="3"/>
  <x:c r="L131" i="3"/>
  <x:c r="M131" i="3"/>
  <x:c r="N131" i="3"/>
  <x:c r="I132" i="3"/>
  <x:c r="J132" i="3"/>
  <x:c r="K132" i="3"/>
  <x:c r="L132" i="3"/>
  <x:c r="M132" i="3"/>
  <x:c r="N132" i="3"/>
  <x:c r="I133" i="3"/>
  <x:c r="J133" i="3"/>
  <x:c r="K133" i="3"/>
  <x:c r="L133" i="3"/>
  <x:c r="M133" i="3"/>
  <x:c r="N133" i="3"/>
  <x:c r="I134" i="3"/>
  <x:c r="J134" i="3"/>
  <x:c r="K134" i="3"/>
  <x:c r="L134" i="3"/>
  <x:c r="M134" i="3"/>
  <x:c r="N134" i="3"/>
  <x:c r="I135" i="3"/>
  <x:c r="J135" i="3"/>
  <x:c r="K135" i="3"/>
  <x:c r="L135" i="3"/>
  <x:c r="M135" i="3"/>
  <x:c r="N135" i="3"/>
  <x:c r="I136" i="3"/>
  <x:c r="J136" i="3"/>
  <x:c r="K136" i="3"/>
  <x:c r="L136" i="3"/>
  <x:c r="M136" i="3"/>
  <x:c r="N136" i="3"/>
  <x:c r="I137" i="3"/>
  <x:c r="J137" i="3"/>
  <x:c r="K137" i="3"/>
  <x:c r="L137" i="3"/>
  <x:c r="M137" i="3"/>
  <x:c r="N137" i="3"/>
  <x:c r="I138" i="3"/>
  <x:c r="J138" i="3"/>
  <x:c r="K138" i="3"/>
  <x:c r="L138" i="3"/>
  <x:c r="M138" i="3"/>
  <x:c r="N138" i="3"/>
  <x:c r="I139" i="3"/>
  <x:c r="J139" i="3"/>
  <x:c r="K139" i="3"/>
  <x:c r="L139" i="3"/>
  <x:c r="M139" i="3"/>
  <x:c r="N139" i="3"/>
  <x:c r="I140" i="3"/>
  <x:c r="J140" i="3"/>
  <x:c r="K140" i="3"/>
  <x:c r="L140" i="3"/>
  <x:c r="M140" i="3"/>
  <x:c r="N140" i="3"/>
  <x:c r="I141" i="3"/>
  <x:c r="J141" i="3"/>
  <x:c r="K141" i="3"/>
  <x:c r="L141" i="3"/>
  <x:c r="M141" i="3"/>
  <x:c r="N141" i="3"/>
  <x:c r="I142" i="3"/>
  <x:c r="J142" i="3"/>
  <x:c r="K142" i="3"/>
  <x:c r="L142" i="3"/>
  <x:c r="M142" i="3"/>
  <x:c r="N142" i="3"/>
  <x:c r="I143" i="3"/>
  <x:c r="J143" i="3"/>
  <x:c r="K143" i="3"/>
  <x:c r="L143" i="3"/>
  <x:c r="M143" i="3"/>
  <x:c r="N143" i="3"/>
  <x:c r="I144" i="3"/>
  <x:c r="J144" i="3"/>
  <x:c r="K144" i="3"/>
  <x:c r="L144" i="3"/>
  <x:c r="M144" i="3"/>
  <x:c r="N144" i="3"/>
  <x:c r="I145" i="3"/>
  <x:c r="J145" i="3"/>
  <x:c r="K145" i="3"/>
  <x:c r="L145" i="3"/>
  <x:c r="M145" i="3"/>
  <x:c r="N145" i="3"/>
  <x:c r="I146" i="3"/>
  <x:c r="J146" i="3"/>
  <x:c r="K146" i="3"/>
  <x:c r="L146" i="3"/>
  <x:c r="M146" i="3"/>
  <x:c r="N146" i="3"/>
  <x:c r="I147" i="3"/>
  <x:c r="J147" i="3"/>
  <x:c r="K147" i="3"/>
  <x:c r="L147" i="3"/>
  <x:c r="M147" i="3"/>
  <x:c r="N147" i="3"/>
  <x:c r="I148" i="3"/>
  <x:c r="J148" i="3"/>
  <x:c r="K148" i="3"/>
  <x:c r="L148" i="3"/>
  <x:c r="M148" i="3"/>
  <x:c r="N148" i="3"/>
  <x:c r="I149" i="3"/>
  <x:c r="J149" i="3"/>
  <x:c r="K149" i="3"/>
  <x:c r="L149" i="3"/>
  <x:c r="M149" i="3"/>
  <x:c r="N149" i="3"/>
  <x:c r="I150" i="3"/>
  <x:c r="J150" i="3"/>
  <x:c r="K150" i="3"/>
  <x:c r="L150" i="3"/>
  <x:c r="M150" i="3"/>
  <x:c r="N150" i="3"/>
  <x:c r="I151" i="3"/>
  <x:c r="J151" i="3"/>
  <x:c r="K151" i="3"/>
  <x:c r="L151" i="3"/>
  <x:c r="M151" i="3"/>
  <x:c r="N151" i="3"/>
  <x:c r="I152" i="3"/>
  <x:c r="J152" i="3"/>
  <x:c r="K152" i="3"/>
  <x:c r="L152" i="3"/>
  <x:c r="M152" i="3"/>
  <x:c r="N152" i="3"/>
  <x:c r="I153" i="3"/>
  <x:c r="J153" i="3"/>
  <x:c r="K153" i="3"/>
  <x:c r="L153" i="3"/>
  <x:c r="M153" i="3"/>
  <x:c r="N153" i="3"/>
  <x:c r="I154" i="3"/>
  <x:c r="J154" i="3"/>
  <x:c r="K154" i="3"/>
  <x:c r="L154" i="3"/>
  <x:c r="M154" i="3"/>
  <x:c r="N154" i="3"/>
  <x:c r="I155" i="3"/>
  <x:c r="J155" i="3"/>
  <x:c r="K155" i="3"/>
  <x:c r="L155" i="3"/>
  <x:c r="M155" i="3"/>
  <x:c r="N155" i="3"/>
  <x:c r="I156" i="3"/>
  <x:c r="J156" i="3"/>
  <x:c r="K156" i="3"/>
  <x:c r="L156" i="3"/>
  <x:c r="M156" i="3"/>
  <x:c r="N156" i="3"/>
  <x:c r="I157" i="3"/>
  <x:c r="J157" i="3"/>
  <x:c r="K157" i="3"/>
  <x:c r="L157" i="3"/>
  <x:c r="M157" i="3"/>
  <x:c r="N157" i="3"/>
  <x:c r="I158" i="3"/>
  <x:c r="J158" i="3"/>
  <x:c r="K158" i="3"/>
  <x:c r="L158" i="3"/>
  <x:c r="M158" i="3"/>
  <x:c r="N158" i="3"/>
  <x:c r="I159" i="3"/>
  <x:c r="J159" i="3"/>
  <x:c r="K159" i="3"/>
  <x:c r="L159" i="3"/>
  <x:c r="M159" i="3"/>
  <x:c r="N159" i="3"/>
  <x:c r="I160" i="3"/>
  <x:c r="J160" i="3"/>
  <x:c r="K160" i="3"/>
  <x:c r="L160" i="3"/>
  <x:c r="M160" i="3"/>
  <x:c r="N160" i="3"/>
  <x:c r="I161" i="3"/>
  <x:c r="J161" i="3"/>
  <x:c r="K161" i="3"/>
  <x:c r="L161" i="3"/>
  <x:c r="M161" i="3"/>
  <x:c r="N161" i="3"/>
  <x:c r="I162" i="3"/>
  <x:c r="J162" i="3"/>
  <x:c r="K162" i="3"/>
  <x:c r="L162" i="3"/>
  <x:c r="M162" i="3"/>
  <x:c r="N162" i="3"/>
  <x:c r="I163" i="3"/>
  <x:c r="J163" i="3"/>
  <x:c r="K163" i="3"/>
  <x:c r="L163" i="3"/>
  <x:c r="M163" i="3"/>
  <x:c r="N163" i="3"/>
  <x:c r="I164" i="3"/>
  <x:c r="J164" i="3"/>
  <x:c r="K164" i="3"/>
  <x:c r="L164" i="3"/>
  <x:c r="M164" i="3"/>
  <x:c r="N164" i="3"/>
  <x:c r="I165" i="3"/>
  <x:c r="J165" i="3"/>
  <x:c r="K165" i="3"/>
  <x:c r="L165" i="3"/>
  <x:c r="M165" i="3"/>
  <x:c r="N165" i="3"/>
  <x:c r="I166" i="3"/>
  <x:c r="J166" i="3"/>
  <x:c r="K166" i="3"/>
  <x:c r="L166" i="3"/>
  <x:c r="M166" i="3"/>
  <x:c r="N166" i="3"/>
  <x:c r="I167" i="3"/>
  <x:c r="J167" i="3"/>
  <x:c r="K167" i="3"/>
  <x:c r="L167" i="3"/>
  <x:c r="M167" i="3"/>
  <x:c r="N167" i="3"/>
  <x:c r="I168" i="3"/>
  <x:c r="J168" i="3"/>
  <x:c r="K168" i="3"/>
  <x:c r="L168" i="3"/>
  <x:c r="M168" i="3"/>
  <x:c r="N168" i="3"/>
  <x:c r="I169" i="3"/>
  <x:c r="J169" i="3"/>
  <x:c r="K169" i="3"/>
  <x:c r="L169" i="3"/>
  <x:c r="M169" i="3"/>
  <x:c r="N169" i="3"/>
  <x:c r="I170" i="3"/>
  <x:c r="J170" i="3"/>
  <x:c r="K170" i="3"/>
  <x:c r="L170" i="3"/>
  <x:c r="M170" i="3"/>
  <x:c r="N170" i="3"/>
  <x:c r="I171" i="3"/>
  <x:c r="J171" i="3"/>
  <x:c r="K171" i="3"/>
  <x:c r="L171" i="3"/>
  <x:c r="M171" i="3"/>
  <x:c r="N171" i="3"/>
  <x:c r="I172" i="3"/>
  <x:c r="J172" i="3"/>
  <x:c r="K172" i="3"/>
  <x:c r="L172" i="3"/>
  <x:c r="M172" i="3"/>
  <x:c r="N172" i="3"/>
  <x:c r="I173" i="3"/>
  <x:c r="J173" i="3"/>
  <x:c r="K173" i="3"/>
  <x:c r="L173" i="3"/>
  <x:c r="M173" i="3"/>
  <x:c r="N173" i="3"/>
  <x:c r="I174" i="3"/>
  <x:c r="J174" i="3"/>
  <x:c r="K174" i="3"/>
  <x:c r="L174" i="3"/>
  <x:c r="M174" i="3"/>
  <x:c r="N174" i="3"/>
  <x:c r="C2" i="4"/>
  <x:c r="D2" i="4"/>
  <x:c r="E2" i="4"/>
  <x:c r="F2" i="4"/>
  <x:c r="G2" i="4"/>
  <x:c r="H2" i="4"/>
  <x:c r="C3" i="4"/>
  <x:c r="D3" i="4"/>
  <x:c r="E3" i="4"/>
  <x:c r="F3" i="4"/>
  <x:c r="G3" i="4"/>
  <x:c r="H3" i="4"/>
  <x:c r="C4" i="4"/>
  <x:c r="D4" i="4"/>
  <x:c r="E4" i="4"/>
  <x:c r="F4" i="4"/>
  <x:c r="G4" i="4"/>
  <x:c r="H4" i="4"/>
  <x:c r="C5" i="4"/>
  <x:c r="D5" i="4"/>
  <x:c r="E5" i="4"/>
  <x:c r="F5" i="4"/>
  <x:c r="G5" i="4"/>
  <x:c r="H5" i="4"/>
  <x:c r="C6" i="4"/>
  <x:c r="D6" i="4"/>
  <x:c r="E6" i="4"/>
  <x:c r="F6" i="4"/>
  <x:c r="G6" i="4"/>
  <x:c r="H6" i="4"/>
  <x:c r="C7" i="4"/>
  <x:c r="D7" i="4"/>
  <x:c r="E7" i="4"/>
  <x:c r="F7" i="4"/>
  <x:c r="G7" i="4"/>
  <x:c r="H7" i="4"/>
  <x:c r="C8" i="4"/>
  <x:c r="D8" i="4"/>
  <x:c r="E8" i="4"/>
  <x:c r="F8" i="4"/>
  <x:c r="G8" i="4"/>
  <x:c r="H8" i="4"/>
  <x:c r="C9" i="4"/>
  <x:c r="D9" i="4"/>
  <x:c r="E9" i="4"/>
  <x:c r="F9" i="4"/>
  <x:c r="G9" i="4"/>
  <x:c r="H9" i="4"/>
  <x:c r="C10" i="4"/>
  <x:c r="D10" i="4"/>
  <x:c r="E10" i="4"/>
  <x:c r="F10" i="4"/>
  <x:c r="G10" i="4"/>
  <x:c r="H10" i="4"/>
  <x:c r="B11" i="4"/>
  <x:c r="C11" i="4"/>
  <x:c r="D11" i="4"/>
  <x:c r="C3" i="7"/>
  <x:c r="D3" i="7"/>
  <x:c r="A5" i="7"/>
  <x:c r="B5" i="7"/>
  <x:c r="C5" i="7"/>
  <x:c r="D5" i="7"/>
  <x:c r="E5" i="7"/>
  <x:c r="F5" i="7"/>
  <x:c r="A6" i="7"/>
  <x:c r="B6" i="7"/>
  <x:c r="C6" i="7"/>
  <x:c r="D6" i="7"/>
  <x:c r="E6" i="7"/>
  <x:c r="F6" i="7"/>
  <x:c r="A7" i="7"/>
  <x:c r="B7" i="7"/>
  <x:c r="C7" i="7"/>
  <x:c r="D7" i="7"/>
  <x:c r="E7" i="7"/>
  <x:c r="F7" i="7"/>
  <x:c r="A8" i="7"/>
  <x:c r="B8" i="7"/>
  <x:c r="C8" i="7"/>
  <x:c r="D8" i="7"/>
  <x:c r="E8" i="7"/>
  <x:c r="F8" i="7"/>
  <x:c r="A9" i="7"/>
  <x:c r="B9" i="7"/>
  <x:c r="C9" i="7"/>
  <x:c r="D9" i="7"/>
  <x:c r="E9" i="7"/>
  <x:c r="F9" i="7"/>
  <x:c r="A10" i="7"/>
  <x:c r="B10" i="7"/>
  <x:c r="C10" i="7"/>
  <x:c r="D10" i="7"/>
  <x:c r="E10" i="7"/>
  <x:c r="F10" i="7"/>
  <x:c r="A11" i="7"/>
  <x:c r="B11" i="7"/>
  <x:c r="C11" i="7"/>
  <x:c r="D11" i="7"/>
  <x:c r="E11" i="7"/>
  <x:c r="F11" i="7"/>
  <x:c r="A12" i="7"/>
  <x:c r="B12" i="7"/>
  <x:c r="C12" i="7"/>
  <x:c r="D12" i="7"/>
  <x:c r="E12" i="7"/>
  <x:c r="F12" i="7"/>
  <x:c r="A13" i="7"/>
  <x:c r="B13" i="7"/>
  <x:c r="C13" i="7"/>
  <x:c r="D13" i="7"/>
  <x:c r="E13" i="7"/>
  <x:c r="F13" i="7"/>
  <x:c r="A14" i="7"/>
  <x:c r="B14" i="7"/>
  <x:c r="C14" i="7"/>
  <x:c r="D14" i="7"/>
  <x:c r="E14" i="7"/>
  <x:c r="F14" i="7"/>
  <x:c r="A15" i="7"/>
  <x:c r="B15" i="7"/>
  <x:c r="C15" i="7"/>
  <x:c r="D15" i="7"/>
  <x:c r="E15" i="7"/>
  <x:c r="F15" i="7"/>
  <x:c r="A16" i="7"/>
  <x:c r="B16" i="7"/>
  <x:c r="C16" i="7"/>
  <x:c r="D16" i="7"/>
  <x:c r="E16" i="7"/>
  <x:c r="F16" i="7"/>
  <x:c r="A17" i="7"/>
  <x:c r="B17" i="7"/>
  <x:c r="C17" i="7"/>
  <x:c r="D17" i="7"/>
  <x:c r="E17" i="7"/>
  <x:c r="F17" i="7"/>
  <x:c r="A18" i="7"/>
  <x:c r="B18" i="7"/>
  <x:c r="C18" i="7"/>
  <x:c r="D18" i="7"/>
  <x:c r="E18" i="7"/>
  <x:c r="F18" i="7"/>
  <x:c r="A19" i="7"/>
  <x:c r="B19" i="7"/>
  <x:c r="C19" i="7"/>
  <x:c r="D19" i="7"/>
  <x:c r="E19" i="7"/>
  <x:c r="F19" i="7"/>
  <x:c r="A20" i="7"/>
  <x:c r="B20" i="7"/>
  <x:c r="C20" i="7"/>
  <x:c r="D20" i="7"/>
  <x:c r="E20" i="7"/>
  <x:c r="F20" i="7"/>
  <x:c r="A21" i="7"/>
  <x:c r="B21" i="7"/>
  <x:c r="C21" i="7"/>
  <x:c r="D21" i="7"/>
  <x:c r="E21" i="7"/>
  <x:c r="F21" i="7"/>
  <x:c r="A22" i="7"/>
  <x:c r="B22" i="7"/>
  <x:c r="C22" i="7"/>
  <x:c r="D22" i="7"/>
  <x:c r="E22" i="7"/>
  <x:c r="F22" i="7"/>
  <x:c r="A23" i="7"/>
  <x:c r="B23" i="7"/>
  <x:c r="C23" i="7"/>
  <x:c r="D23" i="7"/>
  <x:c r="E23" i="7"/>
  <x:c r="F23" i="7"/>
  <x:c r="C26" i="7"/>
  <x:c r="D26" i="7"/>
  <x:c r="A28" i="7"/>
  <x:c r="B28" i="7"/>
  <x:c r="C28" i="7"/>
  <x:c r="D28" i="7"/>
  <x:c r="E28" i="7"/>
  <x:c r="F28" i="7"/>
  <x:c r="A29" i="7"/>
  <x:c r="B29" i="7"/>
  <x:c r="C29" i="7"/>
  <x:c r="D29" i="7"/>
  <x:c r="E29" i="7"/>
  <x:c r="F29" i="7"/>
  <x:c r="A30" i="7"/>
  <x:c r="B30" i="7"/>
  <x:c r="C30" i="7"/>
  <x:c r="D30" i="7"/>
  <x:c r="E30" i="7"/>
  <x:c r="F30" i="7"/>
  <x:c r="A31" i="7"/>
  <x:c r="B31" i="7"/>
  <x:c r="C31" i="7"/>
  <x:c r="D31" i="7"/>
  <x:c r="E31" i="7"/>
  <x:c r="F31" i="7"/>
  <x:c r="A32" i="7"/>
  <x:c r="B32" i="7"/>
  <x:c r="C32" i="7"/>
  <x:c r="D32" i="7"/>
  <x:c r="E32" i="7"/>
  <x:c r="F32" i="7"/>
  <x:c r="A33" i="7"/>
  <x:c r="B33" i="7"/>
  <x:c r="C33" i="7"/>
  <x:c r="D33" i="7"/>
  <x:c r="E33" i="7"/>
  <x:c r="F33" i="7"/>
  <x:c r="A34" i="7"/>
  <x:c r="B34" i="7"/>
  <x:c r="C34" i="7"/>
  <x:c r="D34" i="7"/>
  <x:c r="E34" i="7"/>
  <x:c r="F34" i="7"/>
  <x:c r="A35" i="7"/>
  <x:c r="B35" i="7"/>
  <x:c r="C35" i="7"/>
  <x:c r="D35" i="7"/>
  <x:c r="E35" i="7"/>
  <x:c r="F35" i="7"/>
  <x:c r="A36" i="7"/>
  <x:c r="B36" i="7"/>
  <x:c r="C36" i="7"/>
  <x:c r="D36" i="7"/>
  <x:c r="E36" i="7"/>
  <x:c r="F36" i="7"/>
  <x:c r="C39" i="7"/>
  <x:c r="D39" i="7"/>
  <x:c r="A41" i="7"/>
  <x:c r="B41" i="7"/>
  <x:c r="C41" i="7"/>
  <x:c r="D41" i="7"/>
  <x:c r="E41" i="7"/>
  <x:c r="F41" i="7"/>
  <x:c r="A42" i="7"/>
  <x:c r="B42" i="7"/>
  <x:c r="C42" i="7"/>
  <x:c r="D42" i="7"/>
  <x:c r="E42" i="7"/>
  <x:c r="F42" i="7"/>
  <x:c r="A43" i="7"/>
  <x:c r="B43" i="7"/>
  <x:c r="C43" i="7"/>
  <x:c r="D43" i="7"/>
  <x:c r="E43" i="7"/>
  <x:c r="F43" i="7"/>
  <x:c r="A44" i="7"/>
  <x:c r="B44" i="7"/>
  <x:c r="C44" i="7"/>
  <x:c r="D44" i="7"/>
  <x:c r="E44" i="7"/>
  <x:c r="F44" i="7"/>
  <x:c r="A45" i="7"/>
  <x:c r="B45" i="7"/>
  <x:c r="C45" i="7"/>
  <x:c r="D45" i="7"/>
  <x:c r="E45" i="7"/>
  <x:c r="F45" i="7"/>
  <x:c r="A46" i="7"/>
  <x:c r="B46" i="7"/>
  <x:c r="C46" i="7"/>
  <x:c r="D46" i="7"/>
  <x:c r="E46" i="7"/>
  <x:c r="F46" i="7"/>
  <x:c r="A47" i="7"/>
  <x:c r="B47" i="7"/>
  <x:c r="C47" i="7"/>
  <x:c r="D47" i="7"/>
  <x:c r="E47" i="7"/>
  <x:c r="F47" i="7"/>
  <x:c r="A48" i="7"/>
  <x:c r="B48" i="7"/>
  <x:c r="C48" i="7"/>
  <x:c r="D48" i="7"/>
  <x:c r="E48" i="7"/>
  <x:c r="F48" i="7"/>
  <x:c r="A49" i="7"/>
  <x:c r="B49" i="7"/>
  <x:c r="C49" i="7"/>
  <x:c r="D49" i="7"/>
  <x:c r="E49" i="7"/>
  <x:c r="F49" i="7"/>
  <x:c r="A50" i="7"/>
  <x:c r="B50" i="7"/>
  <x:c r="C50" i="7"/>
  <x:c r="D50" i="7"/>
  <x:c r="E50" i="7"/>
  <x:c r="F50" i="7"/>
  <x:c r="A51" i="7"/>
  <x:c r="B51" i="7"/>
  <x:c r="C51" i="7"/>
  <x:c r="D51" i="7"/>
  <x:c r="E51" i="7"/>
  <x:c r="F51" i="7"/>
  <x:c r="C54" i="7"/>
  <x:c r="D54" i="7"/>
  <x:c r="A56" i="7"/>
  <x:c r="B56" i="7"/>
  <x:c r="C56" i="7"/>
  <x:c r="D56" i="7"/>
  <x:c r="E56" i="7"/>
  <x:c r="F56" i="7"/>
  <x:c r="A57" i="7"/>
  <x:c r="B57" i="7"/>
  <x:c r="C57" i="7"/>
  <x:c r="D57" i="7"/>
  <x:c r="E57" i="7"/>
  <x:c r="F57" i="7"/>
  <x:c r="A58" i="7"/>
  <x:c r="B58" i="7"/>
  <x:c r="C58" i="7"/>
  <x:c r="D58" i="7"/>
  <x:c r="E58" i="7"/>
  <x:c r="F58" i="7"/>
  <x:c r="A59" i="7"/>
  <x:c r="B59" i="7"/>
  <x:c r="C59" i="7"/>
  <x:c r="D59" i="7"/>
  <x:c r="E59" i="7"/>
  <x:c r="F59" i="7"/>
  <x:c r="A60" i="7"/>
  <x:c r="B60" i="7"/>
  <x:c r="C60" i="7"/>
  <x:c r="D60" i="7"/>
  <x:c r="E60" i="7"/>
  <x:c r="F60" i="7"/>
  <x:c r="A61" i="7"/>
  <x:c r="B61" i="7"/>
  <x:c r="C61" i="7"/>
  <x:c r="D61" i="7"/>
  <x:c r="E61" i="7"/>
  <x:c r="F61" i="7"/>
  <x:c r="A62" i="7"/>
  <x:c r="B62" i="7"/>
  <x:c r="C62" i="7"/>
  <x:c r="D62" i="7"/>
  <x:c r="E62" i="7"/>
  <x:c r="F62" i="7"/>
  <x:c r="A63" i="7"/>
  <x:c r="B63" i="7"/>
  <x:c r="C63" i="7"/>
  <x:c r="D63" i="7"/>
  <x:c r="E63" i="7"/>
  <x:c r="F63" i="7"/>
  <x:c r="A64" i="7"/>
  <x:c r="B64" i="7"/>
  <x:c r="C64" i="7"/>
  <x:c r="D64" i="7"/>
  <x:c r="E64" i="7"/>
  <x:c r="F64" i="7"/>
  <x:c r="A65" i="7"/>
  <x:c r="B65" i="7"/>
  <x:c r="C65" i="7"/>
  <x:c r="D65" i="7"/>
  <x:c r="E65" i="7"/>
  <x:c r="F65" i="7"/>
  <x:c r="A66" i="7"/>
  <x:c r="B66" i="7"/>
  <x:c r="C66" i="7"/>
  <x:c r="D66" i="7"/>
  <x:c r="E66" i="7"/>
  <x:c r="F66" i="7"/>
  <x:c r="A67" i="7"/>
  <x:c r="B67" i="7"/>
  <x:c r="C67" i="7"/>
  <x:c r="D67" i="7"/>
  <x:c r="E67" i="7"/>
  <x:c r="F67" i="7"/>
  <x:c r="A68" i="7"/>
  <x:c r="B68" i="7"/>
  <x:c r="C68" i="7"/>
  <x:c r="D68" i="7"/>
  <x:c r="E68" i="7"/>
  <x:c r="F68" i="7"/>
  <x:c r="A69" i="7"/>
  <x:c r="B69" i="7"/>
  <x:c r="C69" i="7"/>
  <x:c r="D69" i="7"/>
  <x:c r="E69" i="7"/>
  <x:c r="F69" i="7"/>
  <x:c r="A70" i="7"/>
  <x:c r="B70" i="7"/>
  <x:c r="C70" i="7"/>
  <x:c r="D70" i="7"/>
  <x:c r="E70" i="7"/>
  <x:c r="F70" i="7"/>
  <x:c r="C73" i="7"/>
  <x:c r="D73" i="7"/>
  <x:c r="A75" i="7"/>
  <x:c r="B75" i="7"/>
  <x:c r="C75" i="7"/>
  <x:c r="D75" i="7"/>
  <x:c r="E75" i="7"/>
  <x:c r="F75" i="7"/>
  <x:c r="A76" i="7"/>
  <x:c r="B76" i="7"/>
  <x:c r="C76" i="7"/>
  <x:c r="D76" i="7"/>
  <x:c r="E76" i="7"/>
  <x:c r="F76" i="7"/>
  <x:c r="A77" i="7"/>
  <x:c r="B77" i="7"/>
  <x:c r="C77" i="7"/>
  <x:c r="D77" i="7"/>
  <x:c r="E77" i="7"/>
  <x:c r="F77" i="7"/>
  <x:c r="A78" i="7"/>
  <x:c r="B78" i="7"/>
  <x:c r="C78" i="7"/>
  <x:c r="D78" i="7"/>
  <x:c r="E78" i="7"/>
  <x:c r="F78" i="7"/>
  <x:c r="A79" i="7"/>
  <x:c r="B79" i="7"/>
  <x:c r="C79" i="7"/>
  <x:c r="D79" i="7"/>
  <x:c r="E79" i="7"/>
  <x:c r="F79" i="7"/>
  <x:c r="A80" i="7"/>
  <x:c r="B80" i="7"/>
  <x:c r="C80" i="7"/>
  <x:c r="D80" i="7"/>
  <x:c r="E80" i="7"/>
  <x:c r="F80" i="7"/>
  <x:c r="A81" i="7"/>
  <x:c r="B81" i="7"/>
  <x:c r="C81" i="7"/>
  <x:c r="D81" i="7"/>
  <x:c r="E81" i="7"/>
  <x:c r="F81" i="7"/>
  <x:c r="A82" i="7"/>
  <x:c r="B82" i="7"/>
  <x:c r="C82" i="7"/>
  <x:c r="D82" i="7"/>
  <x:c r="E82" i="7"/>
  <x:c r="F82" i="7"/>
  <x:c r="A83" i="7"/>
  <x:c r="B83" i="7"/>
  <x:c r="C83" i="7"/>
  <x:c r="D83" i="7"/>
  <x:c r="E83" i="7"/>
  <x:c r="F83" i="7"/>
  <x:c r="A84" i="7"/>
  <x:c r="B84" i="7"/>
  <x:c r="C84" i="7"/>
  <x:c r="D84" i="7"/>
  <x:c r="E84" i="7"/>
  <x:c r="F84" i="7"/>
  <x:c r="A85" i="7"/>
  <x:c r="B85" i="7"/>
  <x:c r="C85" i="7"/>
  <x:c r="D85" i="7"/>
  <x:c r="E85" i="7"/>
  <x:c r="F85" i="7"/>
  <x:c r="A86" i="7"/>
  <x:c r="B86" i="7"/>
  <x:c r="C86" i="7"/>
  <x:c r="D86" i="7"/>
  <x:c r="E86" i="7"/>
  <x:c r="F86" i="7"/>
  <x:c r="A87" i="7"/>
  <x:c r="B87" i="7"/>
  <x:c r="C87" i="7"/>
  <x:c r="D87" i="7"/>
  <x:c r="E87" i="7"/>
  <x:c r="F87" i="7"/>
  <x:c r="A88" i="7"/>
  <x:c r="B88" i="7"/>
  <x:c r="C88" i="7"/>
  <x:c r="D88" i="7"/>
  <x:c r="E88" i="7"/>
  <x:c r="F88" i="7"/>
  <x:c r="A89" i="7"/>
  <x:c r="B89" i="7"/>
  <x:c r="C89" i="7"/>
  <x:c r="D89" i="7"/>
  <x:c r="E89" i="7"/>
  <x:c r="F89" i="7"/>
  <x:c r="A90" i="7"/>
  <x:c r="B90" i="7"/>
  <x:c r="C90" i="7"/>
  <x:c r="D90" i="7"/>
  <x:c r="E90" i="7"/>
  <x:c r="F90" i="7"/>
  <x:c r="A91" i="7"/>
  <x:c r="B91" i="7"/>
  <x:c r="C91" i="7"/>
  <x:c r="D91" i="7"/>
  <x:c r="E91" i="7"/>
  <x:c r="F91" i="7"/>
  <x:c r="A92" i="7"/>
  <x:c r="B92" i="7"/>
  <x:c r="C92" i="7"/>
  <x:c r="D92" i="7"/>
  <x:c r="E92" i="7"/>
  <x:c r="F92" i="7"/>
  <x:c r="A93" i="7"/>
  <x:c r="B93" i="7"/>
  <x:c r="C93" i="7"/>
  <x:c r="D93" i="7"/>
  <x:c r="E93" i="7"/>
  <x:c r="F93" i="7"/>
  <x:c r="A94" i="7"/>
  <x:c r="B94" i="7"/>
  <x:c r="C94" i="7"/>
  <x:c r="D94" i="7"/>
  <x:c r="E94" i="7"/>
  <x:c r="F94" i="7"/>
  <x:c r="A95" i="7"/>
  <x:c r="B95" i="7"/>
  <x:c r="C95" i="7"/>
  <x:c r="D95" i="7"/>
  <x:c r="E95" i="7"/>
  <x:c r="F95" i="7"/>
  <x:c r="A96" i="7"/>
  <x:c r="B96" i="7"/>
  <x:c r="C96" i="7"/>
  <x:c r="D96" i="7"/>
  <x:c r="E96" i="7"/>
  <x:c r="F96" i="7"/>
  <x:c r="A97" i="7"/>
  <x:c r="B97" i="7"/>
  <x:c r="C97" i="7"/>
  <x:c r="D97" i="7"/>
  <x:c r="E97" i="7"/>
  <x:c r="F97" i="7"/>
  <x:c r="A98" i="7"/>
  <x:c r="B98" i="7"/>
  <x:c r="C98" i="7"/>
  <x:c r="D98" i="7"/>
  <x:c r="E98" i="7"/>
  <x:c r="F98" i="7"/>
  <x:c r="A99" i="7"/>
  <x:c r="B99" i="7"/>
  <x:c r="C99" i="7"/>
  <x:c r="D99" i="7"/>
  <x:c r="E99" i="7"/>
  <x:c r="F99" i="7"/>
  <x:c r="A100" i="7"/>
  <x:c r="B100" i="7"/>
  <x:c r="C100" i="7"/>
  <x:c r="D100" i="7"/>
  <x:c r="E100" i="7"/>
  <x:c r="F100" i="7"/>
  <x:c r="C103" i="7"/>
  <x:c r="D103" i="7"/>
  <x:c r="A105" i="7"/>
  <x:c r="B105" i="7"/>
  <x:c r="C105" i="7"/>
  <x:c r="D105" i="7"/>
  <x:c r="E105" i="7"/>
  <x:c r="F105" i="7"/>
  <x:c r="A106" i="7"/>
  <x:c r="B106" i="7"/>
  <x:c r="C106" i="7"/>
  <x:c r="D106" i="7"/>
  <x:c r="E106" i="7"/>
  <x:c r="F106" i="7"/>
  <x:c r="A107" i="7"/>
  <x:c r="B107" i="7"/>
  <x:c r="C107" i="7"/>
  <x:c r="D107" i="7"/>
  <x:c r="E107" i="7"/>
  <x:c r="F107" i="7"/>
  <x:c r="A108" i="7"/>
  <x:c r="B108" i="7"/>
  <x:c r="C108" i="7"/>
  <x:c r="D108" i="7"/>
  <x:c r="E108" i="7"/>
  <x:c r="F108" i="7"/>
  <x:c r="A109" i="7"/>
  <x:c r="B109" i="7"/>
  <x:c r="C109" i="7"/>
  <x:c r="D109" i="7"/>
  <x:c r="E109" i="7"/>
  <x:c r="F109" i="7"/>
  <x:c r="A110" i="7"/>
  <x:c r="B110" i="7"/>
  <x:c r="C110" i="7"/>
  <x:c r="D110" i="7"/>
  <x:c r="E110" i="7"/>
  <x:c r="F110" i="7"/>
  <x:c r="A111" i="7"/>
  <x:c r="B111" i="7"/>
  <x:c r="C111" i="7"/>
  <x:c r="D111" i="7"/>
  <x:c r="E111" i="7"/>
  <x:c r="F111" i="7"/>
  <x:c r="A112" i="7"/>
  <x:c r="B112" i="7"/>
  <x:c r="C112" i="7"/>
  <x:c r="D112" i="7"/>
  <x:c r="E112" i="7"/>
  <x:c r="F112" i="7"/>
  <x:c r="A113" i="7"/>
  <x:c r="B113" i="7"/>
  <x:c r="C113" i="7"/>
  <x:c r="D113" i="7"/>
  <x:c r="E113" i="7"/>
  <x:c r="F113" i="7"/>
  <x:c r="A114" i="7"/>
  <x:c r="B114" i="7"/>
  <x:c r="C114" i="7"/>
  <x:c r="D114" i="7"/>
  <x:c r="E114" i="7"/>
  <x:c r="F114" i="7"/>
  <x:c r="A115" i="7"/>
  <x:c r="B115" i="7"/>
  <x:c r="C115" i="7"/>
  <x:c r="D115" i="7"/>
  <x:c r="E115" i="7"/>
  <x:c r="F115" i="7"/>
  <x:c r="A116" i="7"/>
  <x:c r="B116" i="7"/>
  <x:c r="C116" i="7"/>
  <x:c r="D116" i="7"/>
  <x:c r="E116" i="7"/>
  <x:c r="F116" i="7"/>
  <x:c r="A117" i="7"/>
  <x:c r="B117" i="7"/>
  <x:c r="C117" i="7"/>
  <x:c r="D117" i="7"/>
  <x:c r="E117" i="7"/>
  <x:c r="F117" i="7"/>
  <x:c r="A118" i="7"/>
  <x:c r="B118" i="7"/>
  <x:c r="C118" i="7"/>
  <x:c r="D118" i="7"/>
  <x:c r="E118" i="7"/>
  <x:c r="F118" i="7"/>
  <x:c r="A119" i="7"/>
  <x:c r="B119" i="7"/>
  <x:c r="C119" i="7"/>
  <x:c r="D119" i="7"/>
  <x:c r="E119" i="7"/>
  <x:c r="F119" i="7"/>
  <x:c r="A120" i="7"/>
  <x:c r="B120" i="7"/>
  <x:c r="C120" i="7"/>
  <x:c r="D120" i="7"/>
  <x:c r="E120" i="7"/>
  <x:c r="F120" i="7"/>
  <x:c r="C123" i="7"/>
  <x:c r="D123" i="7"/>
  <x:c r="A125" i="7"/>
  <x:c r="B125" i="7"/>
  <x:c r="C125" i="7"/>
  <x:c r="D125" i="7"/>
  <x:c r="E125" i="7"/>
  <x:c r="F125" i="7"/>
  <x:c r="A126" i="7"/>
  <x:c r="B126" i="7"/>
  <x:c r="C126" i="7"/>
  <x:c r="D126" i="7"/>
  <x:c r="E126" i="7"/>
  <x:c r="F126" i="7"/>
  <x:c r="A127" i="7"/>
  <x:c r="B127" i="7"/>
  <x:c r="C127" i="7"/>
  <x:c r="D127" i="7"/>
  <x:c r="E127" i="7"/>
  <x:c r="F127" i="7"/>
  <x:c r="A128" i="7"/>
  <x:c r="B128" i="7"/>
  <x:c r="C128" i="7"/>
  <x:c r="D128" i="7"/>
  <x:c r="E128" i="7"/>
  <x:c r="F128" i="7"/>
  <x:c r="A129" i="7"/>
  <x:c r="B129" i="7"/>
  <x:c r="C129" i="7"/>
  <x:c r="D129" i="7"/>
  <x:c r="E129" i="7"/>
  <x:c r="F129" i="7"/>
  <x:c r="A130" i="7"/>
  <x:c r="B130" i="7"/>
  <x:c r="C130" i="7"/>
  <x:c r="D130" i="7"/>
  <x:c r="E130" i="7"/>
  <x:c r="F130" i="7"/>
  <x:c r="A131" i="7"/>
  <x:c r="B131" i="7"/>
  <x:c r="C131" i="7"/>
  <x:c r="D131" i="7"/>
  <x:c r="E131" i="7"/>
  <x:c r="F131" i="7"/>
  <x:c r="A132" i="7"/>
  <x:c r="B132" i="7"/>
  <x:c r="C132" i="7"/>
  <x:c r="D132" i="7"/>
  <x:c r="E132" i="7"/>
  <x:c r="F132" i="7"/>
  <x:c r="C135" i="7"/>
  <x:c r="D135" i="7"/>
  <x:c r="A137" i="7"/>
  <x:c r="B137" i="7"/>
  <x:c r="C137" i="7"/>
  <x:c r="D137" i="7"/>
  <x:c r="E137" i="7"/>
  <x:c r="F137" i="7"/>
  <x:c r="A138" i="7"/>
  <x:c r="B138" i="7"/>
  <x:c r="C138" i="7"/>
  <x:c r="D138" i="7"/>
  <x:c r="E138" i="7"/>
  <x:c r="F138" i="7"/>
  <x:c r="A139" i="7"/>
  <x:c r="B139" i="7"/>
  <x:c r="C139" i="7"/>
  <x:c r="D139" i="7"/>
  <x:c r="E139" i="7"/>
  <x:c r="F139" i="7"/>
  <x:c r="A140" i="7"/>
  <x:c r="B140" i="7"/>
  <x:c r="C140" i="7"/>
  <x:c r="D140" i="7"/>
  <x:c r="E140" i="7"/>
  <x:c r="F140" i="7"/>
  <x:c r="A141" i="7"/>
  <x:c r="B141" i="7"/>
  <x:c r="C141" i="7"/>
  <x:c r="D141" i="7"/>
  <x:c r="E141" i="7"/>
  <x:c r="F141" i="7"/>
  <x:c r="A142" i="7"/>
  <x:c r="B142" i="7"/>
  <x:c r="C142" i="7"/>
  <x:c r="D142" i="7"/>
  <x:c r="E142" i="7"/>
  <x:c r="F142" i="7"/>
  <x:c r="A143" i="7"/>
  <x:c r="B143" i="7"/>
  <x:c r="C143" i="7"/>
  <x:c r="D143" i="7"/>
  <x:c r="E143" i="7"/>
  <x:c r="F143" i="7"/>
  <x:c r="A144" i="7"/>
  <x:c r="B144" i="7"/>
  <x:c r="C144" i="7"/>
  <x:c r="D144" i="7"/>
  <x:c r="E144" i="7"/>
  <x:c r="F144" i="7"/>
  <x:c r="A145" i="7"/>
  <x:c r="B145" i="7"/>
  <x:c r="C145" i="7"/>
  <x:c r="D145" i="7"/>
  <x:c r="E145" i="7"/>
  <x:c r="F145" i="7"/>
  <x:c r="A146" i="7"/>
  <x:c r="B146" i="7"/>
  <x:c r="C146" i="7"/>
  <x:c r="D146" i="7"/>
  <x:c r="E146" i="7"/>
  <x:c r="F146" i="7"/>
  <x:c r="A147" i="7"/>
  <x:c r="B147" i="7"/>
  <x:c r="C147" i="7"/>
  <x:c r="D147" i="7"/>
  <x:c r="E147" i="7"/>
  <x:c r="F147" i="7"/>
  <x:c r="A148" i="7"/>
  <x:c r="B148" i="7"/>
  <x:c r="C148" i="7"/>
  <x:c r="D148" i="7"/>
  <x:c r="E148" i="7"/>
  <x:c r="F148" i="7"/>
  <x:c r="A149" i="7"/>
  <x:c r="B149" i="7"/>
  <x:c r="C149" i="7"/>
  <x:c r="D149" i="7"/>
  <x:c r="E149" i="7"/>
  <x:c r="F149" i="7"/>
  <x:c r="A150" i="7"/>
  <x:c r="B150" i="7"/>
  <x:c r="C150" i="7"/>
  <x:c r="D150" i="7"/>
  <x:c r="E150" i="7"/>
  <x:c r="F150" i="7"/>
  <x:c r="A151" i="7"/>
  <x:c r="B151" i="7"/>
  <x:c r="C151" i="7"/>
  <x:c r="D151" i="7"/>
  <x:c r="E151" i="7"/>
  <x:c r="F151" i="7"/>
  <x:c r="A152" i="7"/>
  <x:c r="B152" i="7"/>
  <x:c r="C152" i="7"/>
  <x:c r="D152" i="7"/>
  <x:c r="E152" i="7"/>
  <x:c r="F152" i="7"/>
  <x:c r="A153" i="7"/>
  <x:c r="B153" i="7"/>
  <x:c r="C153" i="7"/>
  <x:c r="D153" i="7"/>
  <x:c r="E153" i="7"/>
  <x:c r="F153" i="7"/>
  <x:c r="A154" i="7"/>
  <x:c r="B154" i="7"/>
  <x:c r="C154" i="7"/>
  <x:c r="D154" i="7"/>
  <x:c r="E154" i="7"/>
  <x:c r="F154" i="7"/>
  <x:c r="A155" i="7"/>
  <x:c r="B155" i="7"/>
  <x:c r="C155" i="7"/>
  <x:c r="D155" i="7"/>
  <x:c r="E155" i="7"/>
  <x:c r="F155" i="7"/>
  <x:c r="A156" i="7"/>
  <x:c r="B156" i="7"/>
  <x:c r="C156" i="7"/>
  <x:c r="D156" i="7"/>
  <x:c r="E156" i="7"/>
  <x:c r="F156" i="7"/>
  <x:c r="A157" i="7"/>
  <x:c r="B157" i="7"/>
  <x:c r="C157" i="7"/>
  <x:c r="D157" i="7"/>
  <x:c r="E157" i="7"/>
  <x:c r="F157" i="7"/>
  <x:c r="A158" i="7"/>
  <x:c r="B158" i="7"/>
  <x:c r="C158" i="7"/>
  <x:c r="D158" i="7"/>
  <x:c r="E158" i="7"/>
  <x:c r="F158" i="7"/>
  <x:c r="A159" i="7"/>
  <x:c r="B159" i="7"/>
  <x:c r="C159" i="7"/>
  <x:c r="D159" i="7"/>
  <x:c r="E159" i="7"/>
  <x:c r="F159" i="7"/>
  <x:c r="A160" i="7"/>
  <x:c r="B160" i="7"/>
  <x:c r="C160" i="7"/>
  <x:c r="D160" i="7"/>
  <x:c r="E160" i="7"/>
  <x:c r="F160" i="7"/>
  <x:c r="A161" i="7"/>
  <x:c r="B161" i="7"/>
  <x:c r="C161" i="7"/>
  <x:c r="D161" i="7"/>
  <x:c r="E161" i="7"/>
  <x:c r="F161" i="7"/>
  <x:c r="A162" i="7"/>
  <x:c r="B162" i="7"/>
  <x:c r="C162" i="7"/>
  <x:c r="D162" i="7"/>
  <x:c r="E162" i="7"/>
  <x:c r="F162" i="7"/>
  <x:c r="A163" i="7"/>
  <x:c r="B163" i="7"/>
  <x:c r="C163" i="7"/>
  <x:c r="D163" i="7"/>
  <x:c r="E163" i="7"/>
  <x:c r="F163" i="7"/>
  <x:c r="A164" i="7"/>
  <x:c r="B164" i="7"/>
  <x:c r="C164" i="7"/>
  <x:c r="D164" i="7"/>
  <x:c r="E164" i="7"/>
  <x:c r="F164" i="7"/>
  <x:c r="A165" i="7"/>
  <x:c r="B165" i="7"/>
  <x:c r="C165" i="7"/>
  <x:c r="D165" i="7"/>
  <x:c r="E165" i="7"/>
  <x:c r="F165" i="7"/>
  <x:c r="A166" i="7"/>
  <x:c r="B166" i="7"/>
  <x:c r="C166" i="7"/>
  <x:c r="D166" i="7"/>
  <x:c r="E166" i="7"/>
  <x:c r="F166" i="7"/>
  <x:c r="A167" i="7"/>
  <x:c r="B167" i="7"/>
  <x:c r="C167" i="7"/>
  <x:c r="D167" i="7"/>
  <x:c r="E167" i="7"/>
  <x:c r="F167" i="7"/>
  <x:c r="A168" i="7"/>
  <x:c r="B168" i="7"/>
  <x:c r="C168" i="7"/>
  <x:c r="D168" i="7"/>
  <x:c r="E168" i="7"/>
  <x:c r="F168" i="7"/>
  <x:c r="A169" i="7"/>
  <x:c r="B169" i="7"/>
  <x:c r="C169" i="7"/>
  <x:c r="D169" i="7"/>
  <x:c r="E169" i="7"/>
  <x:c r="F169" i="7"/>
  <x:c r="A170" i="7"/>
  <x:c r="B170" i="7"/>
  <x:c r="C170" i="7"/>
  <x:c r="D170" i="7"/>
  <x:c r="E170" i="7"/>
  <x:c r="F170" i="7"/>
  <x:c r="C173" i="7"/>
  <x:c r="D173" i="7"/>
  <x:c r="A175" i="7"/>
  <x:c r="B175" i="7"/>
  <x:c r="C175" i="7"/>
  <x:c r="D175" i="7"/>
  <x:c r="E175" i="7"/>
  <x:c r="F175" i="7"/>
  <x:c r="A176" i="7"/>
  <x:c r="B176" i="7"/>
  <x:c r="C176" i="7"/>
  <x:c r="D176" i="7"/>
  <x:c r="E176" i="7"/>
  <x:c r="F176" i="7"/>
  <x:c r="A177" i="7"/>
  <x:c r="B177" i="7"/>
  <x:c r="C177" i="7"/>
  <x:c r="D177" i="7"/>
  <x:c r="E177" i="7"/>
  <x:c r="F177" i="7"/>
  <x:c r="A178" i="7"/>
  <x:c r="B178" i="7"/>
  <x:c r="C178" i="7"/>
  <x:c r="D178" i="7"/>
  <x:c r="E178" i="7"/>
  <x:c r="F178" i="7"/>
  <x:c r="A179" i="7"/>
  <x:c r="B179" i="7"/>
  <x:c r="C179" i="7"/>
  <x:c r="D179" i="7"/>
  <x:c r="E179" i="7"/>
  <x:c r="F179" i="7"/>
  <x:c r="A180" i="7"/>
  <x:c r="B180" i="7"/>
  <x:c r="C180" i="7"/>
  <x:c r="D180" i="7"/>
  <x:c r="E180" i="7"/>
  <x:c r="F180" i="7"/>
  <x:c r="A181" i="7"/>
  <x:c r="B181" i="7"/>
  <x:c r="C181" i="7"/>
  <x:c r="D181" i="7"/>
  <x:c r="E181" i="7"/>
  <x:c r="F181" i="7"/>
  <x:c r="A182" i="7"/>
  <x:c r="B182" i="7"/>
  <x:c r="C182" i="7"/>
  <x:c r="D182" i="7"/>
  <x:c r="E182" i="7"/>
  <x:c r="F182" i="7"/>
  <x:c r="A183" i="7"/>
  <x:c r="B183" i="7"/>
  <x:c r="C183" i="7"/>
  <x:c r="D183" i="7"/>
  <x:c r="E183" i="7"/>
  <x:c r="F183" i="7"/>
  <x:c r="A184" i="7"/>
  <x:c r="B184" i="7"/>
  <x:c r="C184" i="7"/>
  <x:c r="D184" i="7"/>
  <x:c r="E184" i="7"/>
  <x:c r="F184" i="7"/>
  <x:c r="A185" i="7"/>
  <x:c r="B185" i="7"/>
  <x:c r="C185" i="7"/>
  <x:c r="D185" i="7"/>
  <x:c r="E185" i="7"/>
  <x:c r="F185" i="7"/>
  <x:c r="A186" i="7"/>
  <x:c r="B186" i="7"/>
  <x:c r="C186" i="7"/>
  <x:c r="D186" i="7"/>
  <x:c r="E186" i="7"/>
  <x:c r="F186" i="7"/>
  <x:c r="A187" i="7"/>
  <x:c r="B187" i="7"/>
  <x:c r="C187" i="7"/>
  <x:c r="D187" i="7"/>
  <x:c r="E187" i="7"/>
  <x:c r="F187" i="7"/>
  <x:c r="A188" i="7"/>
  <x:c r="B188" i="7"/>
  <x:c r="C188" i="7"/>
  <x:c r="D188" i="7"/>
  <x:c r="E188" i="7"/>
  <x:c r="F188" i="7"/>
  <x:c r="A189" i="7"/>
  <x:c r="B189" i="7"/>
  <x:c r="C189" i="7"/>
  <x:c r="D189" i="7"/>
  <x:c r="E189" i="7"/>
  <x:c r="F189" i="7"/>
  <x:c r="A190" i="7"/>
  <x:c r="B190" i="7"/>
  <x:c r="C190" i="7"/>
  <x:c r="D190" i="7"/>
  <x:c r="E190" i="7"/>
  <x:c r="F190" i="7"/>
  <x:c r="A191" i="7"/>
  <x:c r="B191" i="7"/>
  <x:c r="C191" i="7"/>
  <x:c r="D191" i="7"/>
  <x:c r="E191" i="7"/>
  <x:c r="F191" i="7"/>
  <x:c r="A192" i="7"/>
  <x:c r="B192" i="7"/>
  <x:c r="C192" i="7"/>
  <x:c r="D192" i="7"/>
  <x:c r="E192" i="7"/>
  <x:c r="F192" i="7"/>
  <x:c r="A193" i="7"/>
  <x:c r="B193" i="7"/>
  <x:c r="C193" i="7"/>
  <x:c r="D193" i="7"/>
  <x:c r="E193" i="7"/>
  <x:c r="F193" i="7"/>
  <x:c r="A194" i="7"/>
  <x:c r="B194" i="7"/>
  <x:c r="C194" i="7"/>
  <x:c r="D194" i="7"/>
  <x:c r="E194" i="7"/>
  <x:c r="F194" i="7"/>
  <x:c r="A195" i="7"/>
  <x:c r="B195" i="7"/>
  <x:c r="C195" i="7"/>
  <x:c r="D195" i="7"/>
  <x:c r="E195" i="7"/>
  <x:c r="F195" i="7"/>
  <x:c r="A196" i="7"/>
  <x:c r="B196" i="7"/>
  <x:c r="C196" i="7"/>
  <x:c r="D196" i="7"/>
  <x:c r="E196" i="7"/>
  <x:c r="F196" i="7"/>
  <x:c r="A197" i="7"/>
  <x:c r="B197" i="7"/>
  <x:c r="C197" i="7"/>
  <x:c r="D197" i="7"/>
  <x:c r="E197" i="7"/>
  <x:c r="F197" i="7"/>
  <x:c r="A198" i="7"/>
  <x:c r="B198" i="7"/>
  <x:c r="C198" i="7"/>
  <x:c r="D198" i="7"/>
  <x:c r="E198" i="7"/>
  <x:c r="F198" i="7"/>
  <x:c r="A199" i="7"/>
  <x:c r="B199" i="7"/>
  <x:c r="C199" i="7"/>
  <x:c r="D199" i="7"/>
  <x:c r="E199" i="7"/>
  <x:c r="F199" i="7"/>
  <x:c r="A200" i="7"/>
  <x:c r="B200" i="7"/>
  <x:c r="C200" i="7"/>
  <x:c r="D200" i="7"/>
  <x:c r="E200" i="7"/>
  <x:c r="F200" i="7"/>
  <x:c r="A201" i="7"/>
  <x:c r="B201" i="7"/>
  <x:c r="C201" i="7"/>
  <x:c r="D201" i="7"/>
  <x:c r="E201" i="7"/>
  <x:c r="F201" i="7"/>
  <x:c r="A202" i="7"/>
  <x:c r="B202" i="7"/>
  <x:c r="C202" i="7"/>
  <x:c r="D202" i="7"/>
  <x:c r="E202" i="7"/>
  <x:c r="F202" i="7"/>
  <x:c r="A203" i="7"/>
  <x:c r="B203" i="7"/>
  <x:c r="C203" i="7"/>
  <x:c r="D203" i="7"/>
  <x:c r="E203" i="7"/>
  <x:c r="F203" i="7"/>
  <x:c r="A204" i="7"/>
  <x:c r="B204" i="7"/>
  <x:c r="C204" i="7"/>
  <x:c r="D204" i="7"/>
  <x:c r="E204" i="7"/>
  <x:c r="F204" i="7"/>
  <x:c r="A205" i="7"/>
  <x:c r="B205" i="7"/>
  <x:c r="C205" i="7"/>
  <x:c r="D205" i="7"/>
  <x:c r="E205" i="7"/>
  <x:c r="F205" i="7"/>
  <x:c r="A206" i="7"/>
  <x:c r="B206" i="7"/>
  <x:c r="C206" i="7"/>
  <x:c r="D206" i="7"/>
  <x:c r="E206" i="7"/>
  <x:c r="F206" i="7"/>
  <x:c r="A207" i="7"/>
  <x:c r="B207" i="7"/>
  <x:c r="C207" i="7"/>
  <x:c r="D207" i="7"/>
  <x:c r="E207" i="7"/>
  <x:c r="F207" i="7"/>
  <x:c r="A208" i="7"/>
  <x:c r="B208" i="7"/>
  <x:c r="C208" i="7"/>
  <x:c r="D208" i="7"/>
  <x:c r="E208" i="7"/>
  <x:c r="F208" i="7"/>
  <x:c r="A209" i="7"/>
  <x:c r="B209" i="7"/>
  <x:c r="C209" i="7"/>
  <x:c r="D209" i="7"/>
  <x:c r="E209" i="7"/>
  <x:c r="F209" i="7"/>
</x:calcChain>
</file>

<file path=xl/sharedStrings.xml><?xml version="1.0" encoding="utf-8"?>
<x:sst xmlns:x="http://schemas.openxmlformats.org/spreadsheetml/2006/main">
  <x:si>
    <x:t>FishingFinds — параметры расчёта</x:t>
  </x:si>
  <x:si>
    <x:t>Базовый шанс замены рыбы на предмет (1 уровень рыбалки)</x:t>
  </x:si>
  <x:si>
    <x:t>Бонус к шансу за каждый уровень выше первого</x:t>
  </x:si>
  <x:si>
    <x:t>Уровень рыбалки для колонки «≈ дней»</x:t>
  </x:si>
  <x:si>
    <x:t>Шанс замены на этом уровне</x:t>
  </x:si>
  <x:si>
    <x:t>Рыб за 12 часов непрерывной рыбалки на этом уровне</x:t>
  </x:si>
  <x:si>
    <x:t>Предметов за день рыбалки (12 ч)</x:t>
  </x:si>
  <x:si>
    <x:t>Как на Interloper/Misery (да/нет)</x:t>
  </x:si>
  <x:si>
    <x:t>нет</x:t>
  </x:si>
  <x:si>
    <x:t>«да» — предметы с пометкой «Нет на Interloper/Misery» не выпадают (вместо них рыба)</x:t>
  </x:si>
  <x:si>
    <x:t>Значение мода по умолчанию</x:t>
  </x:si>
  <x:si>
    <x:t>Оценка игрока: 20–30 рыб за 12 ч на 5 уровне</x:t>
  </x:si>
  <x:si>
    <x:t>Как пользоваться</x:t>
  </x:si>
  <x:si>
    <x:t>Синие ячейки можно менять: параметры здесь, «Доля (вес)» на листе «Категории», «Уровень» и веса на листах «Предметы» и «Уровни». Остальное пересчитается само.</x:t>
  </x:si>
  <x:si>
    <x:t>Выбор предмета: сначала категория по доле, затем предмет внутри неё по весу уровня.</x:t>
  </x:si>
  <x:si>
    <x:t>Не учтено: ограничение исключительных по уровню рыбалки (в моде по умолчанию — с 3 уровня) и отсутствующие DLC.</x:t>
  </x:si>
  <x:si>
    <x:t>Рыбалка с наживкой или приманкой всегда даёт рыбу.</x:t>
  </x:si>
  <x:si>
    <x:t>Уровень</x:t>
  </x:si>
  <x:si>
    <x:t>Вес</x:t>
  </x:si>
  <x:si>
    <x:t>Частый</x:t>
  </x:si>
  <x:si>
    <x:t>Обычный</x:t>
  </x:si>
  <x:si>
    <x:t>Редкий</x:t>
  </x:si>
  <x:si>
    <x:t>Очень редкий</x:t>
  </x:si>
  <x:si>
    <x:t>Исключительный</x:t>
  </x:si>
  <x:si>
    <x:t>Выключен</x:t>
  </x:si>
  <x:si>
    <x:t>Вес задаёт, во сколько раз чаще предмет выпадает по сравнению с соседями по категории.</x:t>
  </x:si>
  <x:si>
    <x:t>Предмет</x:t>
  </x:si>
  <x:si>
    <x:t>Перевод</x:t>
  </x:si>
  <x:si>
    <x:t>Категория</x:t>
  </x:si>
  <x:si>
    <x:t>Откуда</x:t>
  </x:si>
  <x:si>
    <x:t>DLC</x:t>
  </x:si>
  <x:si>
    <x:t>Нет на Interloper/ Misery</x:t>
  </x:si>
  <x:si>
    <x:t>Имя в игре</x:t>
  </x:si>
  <x:si>
    <x:t>Шанс внутри категории</x:t>
  </x:si>
  <x:si>
    <x:t>Доля всего улова</x:t>
  </x:si>
  <x:si>
    <x:t>1 раз на N предметов</x:t>
  </x:si>
  <x:si>
    <x:t>1 раз на N рыб (1 уровень)</x:t>
  </x:si>
  <x:si>
    <x:t>≈ раз в N дней рыбалки (уровень из «Параметров»)</x:t>
  </x:si>
  <x:si>
    <x:t>Stick</x:t>
  </x:si>
  <x:si>
    <x:t>Палка</x:t>
  </x:si>
  <x:si>
    <x:t>Хлам, дерево и материалы</x:t>
  </x:si>
  <x:si>
    <x:t>Beachcombing</x:t>
  </x:si>
  <x:si>
    <x:t/>
  </x:si>
  <x:si>
    <x:t>GEAR_Stick</x:t>
  </x:si>
  <x:si>
    <x:t>Reclaimed Wood</x:t>
  </x:si>
  <x:si>
    <x:t>Старые доски</x:t>
  </x:si>
  <x:si>
    <x:t>GEAR_ReclaimedWoodB</x:t>
  </x:si>
  <x:si>
    <x:t>Cedar Firewood</x:t>
  </x:si>
  <x:si>
    <x:t>Кедровые дрова</x:t>
  </x:si>
  <x:si>
    <x:t>GEAR_Softwood</x:t>
  </x:si>
  <x:si>
    <x:t>Fir Firewood</x:t>
  </x:si>
  <x:si>
    <x:t>Еловые дрова</x:t>
  </x:si>
  <x:si>
    <x:t>GEAR_Hardwood</x:t>
  </x:si>
  <x:si>
    <x:t>Scrap Metal</x:t>
  </x:si>
  <x:si>
    <x:t>Металлолом</x:t>
  </x:si>
  <x:si>
    <x:t>GEAR_ScrapMetal</x:t>
  </x:si>
  <x:si>
    <x:t>Recycled Can</x:t>
  </x:si>
  <x:si>
    <x:t>Пустая жестяная банка</x:t>
  </x:si>
  <x:si>
    <x:t>GEAR_RecycledCan</x:t>
  </x:si>
  <x:si>
    <x:t>Rifle Shell Casing</x:t>
  </x:si>
  <x:si>
    <x:t>Винтовочная гильза</x:t>
  </x:si>
  <x:si>
    <x:t>GEAR_RifleAmmoCasing</x:t>
  </x:si>
  <x:si>
    <x:t>Wires</x:t>
  </x:si>
  <x:si>
    <x:t>Провода</x:t>
  </x:si>
  <x:si>
    <x:t>да</x:t>
  </x:si>
  <x:si>
    <x:t>GEAR_WireBundle</x:t>
  </x:si>
  <x:si>
    <x:t>Cloth</x:t>
  </x:si>
  <x:si>
    <x:t>Ткань</x:t>
  </x:si>
  <x:si>
    <x:t>GEAR_Cloth</x:t>
  </x:si>
  <x:si>
    <x:t>Revolver Shell Casing</x:t>
  </x:si>
  <x:si>
    <x:t>Револьверная гильза</x:t>
  </x:si>
  <x:si>
    <x:t>Добавлен модом</x:t>
  </x:si>
  <x:si>
    <x:t>GEAR_RevolverAmmoCasing</x:t>
  </x:si>
  <x:si>
    <x:t>Spray Paint</x:t>
  </x:si>
  <x:si>
    <x:t>Баллончик с краской</x:t>
  </x:si>
  <x:si>
    <x:t>GEAR_SprayPaintCan</x:t>
  </x:si>
  <x:si>
    <x:t>Canister</x:t>
  </x:si>
  <x:si>
    <x:t>Фильтр для респиратора</x:t>
  </x:si>
  <x:si>
    <x:t>GEAR_Canister</x:t>
  </x:si>
  <x:si>
    <x:t>Replacement Fuse</x:t>
  </x:si>
  <x:si>
    <x:t>Предохранитель</x:t>
  </x:si>
  <x:si>
    <x:t>GEAR_Fuse</x:t>
  </x:si>
  <x:si>
    <x:t>Cured Leather</x:t>
  </x:si>
  <x:si>
    <x:t>Выделанная кожа</x:t>
  </x:si>
  <x:si>
    <x:t>GEAR_LeatherDried</x:t>
  </x:si>
  <x:si>
    <x:t>Cash</x:t>
  </x:si>
  <x:si>
    <x:t>Пачка денег</x:t>
  </x:si>
  <x:si>
    <x:t>GEAR_CashBundle</x:t>
  </x:si>
  <x:si>
    <x:t>Coal</x:t>
  </x:si>
  <x:si>
    <x:t>Каменный уголь</x:t>
  </x:si>
  <x:si>
    <x:t>GEAR_Coal</x:t>
  </x:si>
  <x:si>
    <x:t>FastFilm</x:t>
  </x:si>
  <x:si>
    <x:t>Плёнка для фотоаппарата</x:t>
  </x:si>
  <x:si>
    <x:t>GEAR_FilmBoxColour, GEAR_FilmBoxBW, GEAR_FilmBoxSepia</x:t>
  </x:si>
  <x:si>
    <x:t>Jerry Can</x:t>
  </x:si>
  <x:si>
    <x:t>Канистра</x:t>
  </x:si>
  <x:si>
    <x:t>GEAR_JerrycanRusty</x:t>
  </x:si>
  <x:si>
    <x:t>Gold Nugget</x:t>
  </x:si>
  <x:si>
    <x:t>Золотой самородок</x:t>
  </x:si>
  <x:si>
    <x:t>GEAR_GoldNugget</x:t>
  </x:si>
  <x:si>
    <x:t>Green Birch Sapling</x:t>
  </x:si>
  <x:si>
    <x:t>Саженец берёзы</x:t>
  </x:si>
  <x:si>
    <x:t>Природное</x:t>
  </x:si>
  <x:si>
    <x:t>GEAR_BirchSapling</x:t>
  </x:si>
  <x:si>
    <x:t>Birch Bark</x:t>
  </x:si>
  <x:si>
    <x:t>Берёзовая кора</x:t>
  </x:si>
  <x:si>
    <x:t>GEAR_BarkTinder</x:t>
  </x:si>
  <x:si>
    <x:t>Cat Tail Stalk</x:t>
  </x:si>
  <x:si>
    <x:t>Стебель рогоза</x:t>
  </x:si>
  <x:si>
    <x:t>GEAR_CattailStalk</x:t>
  </x:si>
  <x:si>
    <x:t>Green Maple Sapling</x:t>
  </x:si>
  <x:si>
    <x:t>Саженец клёна</x:t>
  </x:si>
  <x:si>
    <x:t>GEAR_MapleSapling</x:t>
  </x:si>
  <x:si>
    <x:t>Old Man's Beard Lichen</x:t>
  </x:si>
  <x:si>
    <x:t>Лишайник «борода старика»</x:t>
  </x:si>
  <x:si>
    <x:t>GEAR_OldMansBeardHarvested</x:t>
  </x:si>
  <x:si>
    <x:t>Acorns</x:t>
  </x:si>
  <x:si>
    <x:t>Жёлуди</x:t>
  </x:si>
  <x:si>
    <x:t>GEAR_Acorn</x:t>
  </x:si>
  <x:si>
    <x:t>Rose Hip</x:t>
  </x:si>
  <x:si>
    <x:t>Шиповник</x:t>
  </x:si>
  <x:si>
    <x:t>GEAR_RoseHip</x:t>
  </x:si>
  <x:si>
    <x:t>Reishi Mushroom</x:t>
  </x:si>
  <x:si>
    <x:t>Гриб рейши</x:t>
  </x:si>
  <x:si>
    <x:t>GEAR_ReishiMushroom</x:t>
  </x:si>
  <x:si>
    <x:t>Burdock Root</x:t>
  </x:si>
  <x:si>
    <x:t>Корень лопуха</x:t>
  </x:si>
  <x:si>
    <x:t>GEAR_Burdock</x:t>
  </x:si>
  <x:si>
    <x:t>Hook</x:t>
  </x:si>
  <x:si>
    <x:t>Крючок</x:t>
  </x:si>
  <x:si>
    <x:t>Рыбалка и стрелы</x:t>
  </x:si>
  <x:si>
    <x:t>GEAR_Hook</x:t>
  </x:si>
  <x:si>
    <x:t>Line</x:t>
  </x:si>
  <x:si>
    <x:t>Леска</x:t>
  </x:si>
  <x:si>
    <x:t>GEAR_Line</x:t>
  </x:si>
  <x:si>
    <x:t>Arrow Shaft</x:t>
  </x:si>
  <x:si>
    <x:t>Древко стрелы</x:t>
  </x:si>
  <x:si>
    <x:t>GEAR_ArrowShaft</x:t>
  </x:si>
  <x:si>
    <x:t>Fire Hardened Arrow</x:t>
  </x:si>
  <x:si>
    <x:t>Стрела, закалённая огнём</x:t>
  </x:si>
  <x:si>
    <x:t>GEAR_ArrowHardened</x:t>
  </x:si>
  <x:si>
    <x:t>Broken Fire Hardened Arrow</x:t>
  </x:si>
  <x:si>
    <x:t>Сломанная закалённая стрела</x:t>
  </x:si>
  <x:si>
    <x:t>GEAR_BrokenArrowHardened</x:t>
  </x:si>
  <x:si>
    <x:t>Fishing Tackle</x:t>
  </x:si>
  <x:si>
    <x:t>Рыболовная снасть</x:t>
  </x:si>
  <x:si>
    <x:t>GEAR_HookAndLine</x:t>
  </x:si>
  <x:si>
    <x:t>Broken Arrow</x:t>
  </x:si>
  <x:si>
    <x:t>Сломанная стрела</x:t>
  </x:si>
  <x:si>
    <x:t>GEAR_BrokenArrow</x:t>
  </x:si>
  <x:si>
    <x:t>Arrowhead</x:t>
  </x:si>
  <x:si>
    <x:t>Наконечник стрелы</x:t>
  </x:si>
  <x:si>
    <x:t>GEAR_ArrowHead</x:t>
  </x:si>
  <x:si>
    <x:t>Simple Fishing Lure</x:t>
  </x:si>
  <x:si>
    <x:t>Простая блесна</x:t>
  </x:si>
  <x:si>
    <x:t>GEAR_FishingLureA</x:t>
  </x:si>
  <x:si>
    <x:t>Simple Arrow</x:t>
  </x:si>
  <x:si>
    <x:t>Простая стрела</x:t>
  </x:si>
  <x:si>
    <x:t>GEAR_Arrow</x:t>
  </x:si>
  <x:si>
    <x:t>Manufactured Arrow</x:t>
  </x:si>
  <x:si>
    <x:t>Фабричная стрела</x:t>
  </x:si>
  <x:si>
    <x:t>GEAR_ArrowManufactured</x:t>
  </x:si>
  <x:si>
    <x:t>Charcoal</x:t>
  </x:si>
  <x:si>
    <x:t>Уголь</x:t>
  </x:si>
  <x:si>
    <x:t>Огонь, сигналы и боеприпасы</x:t>
  </x:si>
  <x:si>
    <x:t>GEAR_Charcoal</x:t>
  </x:si>
  <x:si>
    <x:t>Cardboard Matches</x:t>
  </x:si>
  <x:si>
    <x:t>Картонные спички</x:t>
  </x:si>
  <x:si>
    <x:t>GEAR_PackMatches</x:t>
  </x:si>
  <x:si>
    <x:t>Wood Matches</x:t>
  </x:si>
  <x:si>
    <x:t>Деревянные спички</x:t>
  </x:si>
  <x:si>
    <x:t>GEAR_WoodMatches</x:t>
  </x:si>
  <x:si>
    <x:t>Accelerant</x:t>
  </x:si>
  <x:si>
    <x:t>Средство для розжига</x:t>
  </x:si>
  <x:si>
    <x:t>GEAR_Accelerant</x:t>
  </x:si>
  <x:si>
    <x:t>Stump Remover</x:t>
  </x:si>
  <x:si>
    <x:t>Средство для удаления пней</x:t>
  </x:si>
  <x:si>
    <x:t>GEAR_StumpRemover</x:t>
  </x:si>
  <x:si>
    <x:t>Dusting Sulfur</x:t>
  </x:si>
  <x:si>
    <x:t>Порошковая сера</x:t>
  </x:si>
  <x:si>
    <x:t>GEAR_DustingSulfur</x:t>
  </x:si>
  <x:si>
    <x:t>Marine Flare</x:t>
  </x:si>
  <x:si>
    <x:t>Морской фальшфейер</x:t>
  </x:si>
  <x:si>
    <x:t>GEAR_BlueFlare</x:t>
  </x:si>
  <x:si>
    <x:t>Flare</x:t>
  </x:si>
  <x:si>
    <x:t>Сигнальный фальшфейер</x:t>
  </x:si>
  <x:si>
    <x:t>GEAR_FlareA</x:t>
  </x:si>
  <x:si>
    <x:t>Flare Shell</x:t>
  </x:si>
  <x:si>
    <x:t>Сигнальный патрон</x:t>
  </x:si>
  <x:si>
    <x:t>GEAR_FlareGunAmmoSingle</x:t>
  </x:si>
  <x:si>
    <x:t>Rifle Cartridge</x:t>
  </x:si>
  <x:si>
    <x:t>Винтовочный патрон</x:t>
  </x:si>
  <x:si>
    <x:t>GEAR_RifleAmmoSingle</x:t>
  </x:si>
  <x:si>
    <x:t>Revolver Cartridge</x:t>
  </x:si>
  <x:si>
    <x:t>Револьверный патрон</x:t>
  </x:si>
  <x:si>
    <x:t>GEAR_RevolverAmmoSingle</x:t>
  </x:si>
  <x:si>
    <x:t>Scrap Lead</x:t>
  </x:si>
  <x:si>
    <x:t>Свинцовый лом</x:t>
  </x:si>
  <x:si>
    <x:t>GEAR_ScrapLead</x:t>
  </x:si>
  <x:si>
    <x:t>Firelog</x:t>
  </x:si>
  <x:si>
    <x:t>Прессованное полено</x:t>
  </x:si>
  <x:si>
    <x:t>GEAR_Firelog</x:t>
  </x:si>
  <x:si>
    <x:t>Distress Pistol</x:t>
  </x:si>
  <x:si>
    <x:t>Сигнальный пистолет</x:t>
  </x:si>
  <x:si>
    <x:t>GEAR_FlareGun</x:t>
  </x:si>
  <x:si>
    <x:t>Can of Gunpowder</x:t>
  </x:si>
  <x:si>
    <x:t>Банка пороха</x:t>
  </x:si>
  <x:si>
    <x:t>GEAR_GunpowderCan</x:t>
  </x:si>
  <x:si>
    <x:t>Pork and Beans</x:t>
  </x:si>
  <x:si>
    <x:t>Свинина с бобами</x:t>
  </x:si>
  <x:si>
    <x:t>Еда</x:t>
  </x:si>
  <x:si>
    <x:t>GEAR_CannedBeans</x:t>
  </x:si>
  <x:si>
    <x:t>Tin of Sardines</x:t>
  </x:si>
  <x:si>
    <x:t>Сардины</x:t>
  </x:si>
  <x:si>
    <x:t>GEAR_CannedSardines</x:t>
  </x:si>
  <x:si>
    <x:t>Tomato Soup</x:t>
  </x:si>
  <x:si>
    <x:t>Томатный суп</x:t>
  </x:si>
  <x:si>
    <x:t>GEAR_TomatoSoupCan</x:t>
  </x:si>
  <x:si>
    <x:t>Dog Food</x:t>
  </x:si>
  <x:si>
    <x:t>Собачий корм</x:t>
  </x:si>
  <x:si>
    <x:t>GEAR_DogFood</x:t>
  </x:si>
  <x:si>
    <x:t>Summit Soda</x:t>
  </x:si>
  <x:si>
    <x:t>Газировка «Саммит»</x:t>
  </x:si>
  <x:si>
    <x:t>GEAR_Soda</x:t>
  </x:si>
  <x:si>
    <x:t>Orange Soda</x:t>
  </x:si>
  <x:si>
    <x:t>Апельсиновая газировка</x:t>
  </x:si>
  <x:si>
    <x:t>GEAR_SodaOrange</x:t>
  </x:si>
  <x:si>
    <x:t>Stacy's Grape Soda</x:t>
  </x:si>
  <x:si>
    <x:t>Виноградная газировка «Стейси»</x:t>
  </x:si>
  <x:si>
    <x:t>GEAR_SodaGrape</x:t>
  </x:si>
  <x:si>
    <x:t>Beef Jerky</x:t>
  </x:si>
  <x:si>
    <x:t>Вяленая говядина</x:t>
  </x:si>
  <x:si>
    <x:t>GEAR_BeefJerky</x:t>
  </x:si>
  <x:si>
    <x:t>Chocolate Bar</x:t>
  </x:si>
  <x:si>
    <x:t>Шоколадный батончик</x:t>
  </x:si>
  <x:si>
    <x:t>GEAR_CandyBar</x:t>
  </x:si>
  <x:si>
    <x:t>Granola Bar</x:t>
  </x:si>
  <x:si>
    <x:t>Батончик мюсли</x:t>
  </x:si>
  <x:si>
    <x:t>GEAR_GranolaBar</x:t>
  </x:si>
  <x:si>
    <x:t>Energy Bar</x:t>
  </x:si>
  <x:si>
    <x:t>Энергетический батончик</x:t>
  </x:si>
  <x:si>
    <x:t>GEAR_EnergyBar</x:t>
  </x:si>
  <x:si>
    <x:t>Ketchup Chips</x:t>
  </x:si>
  <x:si>
    <x:t>Чипсы с кетчупом</x:t>
  </x:si>
  <x:si>
    <x:t>GEAR_KetchupChips</x:t>
  </x:si>
  <x:si>
    <x:t>Salty Crackers</x:t>
  </x:si>
  <x:si>
    <x:t>Солёные крекеры</x:t>
  </x:si>
  <x:si>
    <x:t>GEAR_Crackers</x:t>
  </x:si>
  <x:si>
    <x:t>Pinnacle Peaches</x:t>
  </x:si>
  <x:si>
    <x:t>Персики «Пиннакл»</x:t>
  </x:si>
  <x:si>
    <x:t>GEAR_PinnacleCanPeaches</x:t>
  </x:si>
  <x:si>
    <x:t>Condensed Milk</x:t>
  </x:si>
  <x:si>
    <x:t>Сгущёнка</x:t>
  </x:si>
  <x:si>
    <x:t>GEAR_CondensedMilk</x:t>
  </x:si>
  <x:si>
    <x:t>Go! Energy Drink</x:t>
  </x:si>
  <x:si>
    <x:t>Энергетик «Go!»</x:t>
  </x:si>
  <x:si>
    <x:t>GEAR_SodaEnergy</x:t>
  </x:si>
  <x:si>
    <x:t>Maple Syrup</x:t>
  </x:si>
  <x:si>
    <x:t>Кленовый сироп</x:t>
  </x:si>
  <x:si>
    <x:t>GEAR_MapleSyrup</x:t>
  </x:si>
  <x:si>
    <x:t>Peanut Butter</x:t>
  </x:si>
  <x:si>
    <x:t>Арахисовая паста</x:t>
  </x:si>
  <x:si>
    <x:t>GEAR_PeanutButter</x:t>
  </x:si>
  <x:si>
    <x:t>Pickles</x:t>
  </x:si>
  <x:si>
    <x:t>Маринованные огурцы</x:t>
  </x:si>
  <x:si>
    <x:t>GEAR_Pickles</x:t>
  </x:si>
  <x:si>
    <x:t>Tin of Coffee</x:t>
  </x:si>
  <x:si>
    <x:t>Банка кофе</x:t>
  </x:si>
  <x:si>
    <x:t>GEAR_CoffeeTin</x:t>
  </x:si>
  <x:si>
    <x:t>Canned Corn</x:t>
  </x:si>
  <x:si>
    <x:t>Консервированная кукуруза</x:t>
  </x:si>
  <x:si>
    <x:t>GEAR_CannedCorn</x:t>
  </x:si>
  <x:si>
    <x:t>Canned Ham</x:t>
  </x:si>
  <x:si>
    <x:t>Консервированная ветчина</x:t>
  </x:si>
  <x:si>
    <x:t>GEAR_CannedHam</x:t>
  </x:si>
  <x:si>
    <x:t>Canned Pineapple</x:t>
  </x:si>
  <x:si>
    <x:t>Консервированные ананасы</x:t>
  </x:si>
  <x:si>
    <x:t>GEAR_CannedPineapple</x:t>
  </x:si>
  <x:si>
    <x:t>Running River Oats</x:t>
  </x:si>
  <x:si>
    <x:t>Овсянка в банке</x:t>
  </x:si>
  <x:si>
    <x:t>GEAR_OatsTin</x:t>
  </x:si>
  <x:si>
    <x:t>Military-Grade MRE</x:t>
  </x:si>
  <x:si>
    <x:t>Армейский сухпаёк</x:t>
  </x:si>
  <x:si>
    <x:t>GEAR_MRE</x:t>
  </x:si>
  <x:si>
    <x:t>Herbal Tea</x:t>
  </x:si>
  <x:si>
    <x:t>Травяной чай</x:t>
  </x:si>
  <x:si>
    <x:t>GEAR_GreenTeaPackage</x:t>
  </x:si>
  <x:si>
    <x:t>Improvised Knife</x:t>
  </x:si>
  <x:si>
    <x:t>Самодельный нож</x:t>
  </x:si>
  <x:si>
    <x:t>Инструменты и снаряжение</x:t>
  </x:si>
  <x:si>
    <x:t>GEAR_KnifeImprovised</x:t>
  </x:si>
  <x:si>
    <x:t>Hunting Knife</x:t>
  </x:si>
  <x:si>
    <x:t>Охотничий нож</x:t>
  </x:si>
  <x:si>
    <x:t>GEAR_Knife</x:t>
  </x:si>
  <x:si>
    <x:t>Hatchet</x:t>
  </x:si>
  <x:si>
    <x:t>Топор</x:t>
  </x:si>
  <x:si>
    <x:t>GEAR_Hatchet</x:t>
  </x:si>
  <x:si>
    <x:t>Hacksaw</x:t>
  </x:si>
  <x:si>
    <x:t>Ножовка</x:t>
  </x:si>
  <x:si>
    <x:t>GEAR_Hacksaw</x:t>
  </x:si>
  <x:si>
    <x:t>Sewing Kit</x:t>
  </x:si>
  <x:si>
    <x:t>Швейный набор</x:t>
  </x:si>
  <x:si>
    <x:t>GEAR_SewingKit</x:t>
  </x:si>
  <x:si>
    <x:t>Simple Tools</x:t>
  </x:si>
  <x:si>
    <x:t>Простые инструменты</x:t>
  </x:si>
  <x:si>
    <x:t>GEAR_SimpleTools</x:t>
  </x:si>
  <x:si>
    <x:t>Whetstone</x:t>
  </x:si>
  <x:si>
    <x:t>Точильный камень</x:t>
  </x:si>
  <x:si>
    <x:t>GEAR_SharpeningStone</x:t>
  </x:si>
  <x:si>
    <x:t>Firearm Cleaning Kit</x:t>
  </x:si>
  <x:si>
    <x:t>Набор для чистки оружия</x:t>
  </x:si>
  <x:si>
    <x:t>GEAR_RifleCleaningKit</x:t>
  </x:si>
  <x:si>
    <x:t>Quality Tools</x:t>
  </x:si>
  <x:si>
    <x:t>Качественные инструменты</x:t>
  </x:si>
  <x:si>
    <x:t>GEAR_HighQualityTools</x:t>
  </x:si>
  <x:si>
    <x:t>Flashlight</x:t>
  </x:si>
  <x:si>
    <x:t>Фонарик</x:t>
  </x:si>
  <x:si>
    <x:t>GEAR_Flashlight</x:t>
  </x:si>
  <x:si>
    <x:t>Cooking Pot</x:t>
  </x:si>
  <x:si>
    <x:t>Котелок</x:t>
  </x:si>
  <x:si>
    <x:t>GEAR_CookingPot</x:t>
  </x:si>
  <x:si>
    <x:t>Cooking Skillet</x:t>
  </x:si>
  <x:si>
    <x:t>Сковорода</x:t>
  </x:si>
  <x:si>
    <x:t>GEAR_Skillet</x:t>
  </x:si>
  <x:si>
    <x:t>Insulated Flask</x:t>
  </x:si>
  <x:si>
    <x:t>Термос</x:t>
  </x:si>
  <x:si>
    <x:t>GEAR_InsulatedFlask_A</x:t>
  </x:si>
  <x:si>
    <x:t>Storm Lantern</x:t>
  </x:si>
  <x:si>
    <x:t>Штормовой фонарь</x:t>
  </x:si>
  <x:si>
    <x:t>GEAR_KeroseneLampB</x:t>
  </x:si>
  <x:si>
    <x:t>Heavy Hammer</x:t>
  </x:si>
  <x:si>
    <x:t>Тяжёлый молот</x:t>
  </x:si>
  <x:si>
    <x:t>GEAR_Hammer</x:t>
  </x:si>
  <x:si>
    <x:t>Survival Knife</x:t>
  </x:si>
  <x:si>
    <x:t>Нож выживания</x:t>
  </x:si>
  <x:si>
    <x:t>GEAR_SurvivalKnife</x:t>
  </x:si>
  <x:si>
    <x:t>Painkillers</x:t>
  </x:si>
  <x:si>
    <x:t>Обезболивающее</x:t>
  </x:si>
  <x:si>
    <x:t>Медицина</x:t>
  </x:si>
  <x:si>
    <x:t>GEAR_BottlePainKillers</x:t>
  </x:si>
  <x:si>
    <x:t>Water Purification Tablets</x:t>
  </x:si>
  <x:si>
    <x:t>Таблетки для очистки воды</x:t>
  </x:si>
  <x:si>
    <x:t>GEAR_WaterPurificationTablets</x:t>
  </x:si>
  <x:si>
    <x:t>Antiseptic</x:t>
  </x:si>
  <x:si>
    <x:t>Антисептик</x:t>
  </x:si>
  <x:si>
    <x:t>GEAR_BottleHydrogenPeroxide</x:t>
  </x:si>
  <x:si>
    <x:t>Antibiotics</x:t>
  </x:si>
  <x:si>
    <x:t>Антибиотики</x:t>
  </x:si>
  <x:si>
    <x:t>GEAR_BottleAntibiotics</x:t>
  </x:si>
  <x:si>
    <x:t>Vitamin-C Pills</x:t>
  </x:si>
  <x:si>
    <x:t>Витамин C</x:t>
  </x:si>
  <x:si>
    <x:t>GEAR_BottleVitaminC</x:t>
  </x:si>
  <x:si>
    <x:t>Caffeine Pills</x:t>
  </x:si>
  <x:si>
    <x:t>Таблетки кофеина</x:t>
  </x:si>
  <x:si>
    <x:t>GEAR_BottleCaffeine</x:t>
  </x:si>
  <x:si>
    <x:t>Heat Pack</x:t>
  </x:si>
  <x:si>
    <x:t>Грелка</x:t>
  </x:si>
  <x:si>
    <x:t>GEAR_HeatPad</x:t>
  </x:si>
  <x:si>
    <x:t>Emergency Stim</x:t>
  </x:si>
  <x:si>
    <x:t>Экстренный стимулятор</x:t>
  </x:si>
  <x:si>
    <x:t>GEAR_EmergencyStim</x:t>
  </x:si>
  <x:si>
    <x:t>Sports Socks</x:t>
  </x:si>
  <x:si>
    <x:t>Спортивные носки</x:t>
  </x:si>
  <x:si>
    <x:t>Мелкая одежда и обувь</x:t>
  </x:si>
  <x:si>
    <x:t>GEAR_CottonSocks</x:t>
  </x:si>
  <x:si>
    <x:t>Cotton Toque</x:t>
  </x:si>
  <x:si>
    <x:t>Хлопковая шапка</x:t>
  </x:si>
  <x:si>
    <x:t>GEAR_BasicWoolHat</x:t>
  </x:si>
  <x:si>
    <x:t>Baseball Cap</x:t>
  </x:si>
  <x:si>
    <x:t>Бейсболка</x:t>
  </x:si>
  <x:si>
    <x:t>GEAR_BaseballCap</x:t>
  </x:si>
  <x:si>
    <x:t>Cotton Scarf</x:t>
  </x:si>
  <x:si>
    <x:t>Хлопковый шарф</x:t>
  </x:si>
  <x:si>
    <x:t>GEAR_CottonScarf</x:t>
  </x:si>
  <x:si>
    <x:t>Work Gloves</x:t>
  </x:si>
  <x:si>
    <x:t>Рабочие перчатки</x:t>
  </x:si>
  <x:si>
    <x:t>GEAR_WorkGloves</x:t>
  </x:si>
  <x:si>
    <x:t>Wool Mittens</x:t>
  </x:si>
  <x:si>
    <x:t>Шерстяные варежки</x:t>
  </x:si>
  <x:si>
    <x:t>GEAR_Mittens</x:t>
  </x:si>
  <x:si>
    <x:t>Driving Gloves</x:t>
  </x:si>
  <x:si>
    <x:t>Водительские перчатки</x:t>
  </x:si>
  <x:si>
    <x:t>GEAR_BasicGloves</x:t>
  </x:si>
  <x:si>
    <x:t>Wool Socks</x:t>
  </x:si>
  <x:si>
    <x:t>Шерстяные носки</x:t>
  </x:si>
  <x:si>
    <x:t>GEAR_WoolSocks</x:t>
  </x:si>
  <x:si>
    <x:t>Wool Toque</x:t>
  </x:si>
  <x:si>
    <x:t>Шерстяная шапка</x:t>
  </x:si>
  <x:si>
    <x:t>GEAR_Toque</x:t>
  </x:si>
  <x:si>
    <x:t>Wool Scarf</x:t>
  </x:si>
  <x:si>
    <x:t>Шерстяной шарф</x:t>
  </x:si>
  <x:si>
    <x:t>GEAR_BasicWoolScarf</x:t>
  </x:si>
  <x:si>
    <x:t>Fleece Mittens</x:t>
  </x:si>
  <x:si>
    <x:t>Флисовые варежки</x:t>
  </x:si>
  <x:si>
    <x:t>GEAR_FleeceMittens</x:t>
  </x:si>
  <x:si>
    <x:t>Ski Gloves</x:t>
  </x:si>
  <x:si>
    <x:t>Лыжные перчатки</x:t>
  </x:si>
  <x:si>
    <x:t>GEAR_SkiGloves</x:t>
  </x:si>
  <x:si>
    <x:t>Balaclava</x:t>
  </x:si>
  <x:si>
    <x:t>Балаклава</x:t>
  </x:si>
  <x:si>
    <x:t>GEAR_Balaclava</x:t>
  </x:si>
  <x:si>
    <x:t>Climbing Socks</x:t>
  </x:si>
  <x:si>
    <x:t>Альпинистские носки</x:t>
  </x:si>
  <x:si>
    <x:t>GEAR_ClimbingSocks</x:t>
  </x:si>
  <x:si>
    <x:t>Running Shoes</x:t>
  </x:si>
  <x:si>
    <x:t>Кроссовки</x:t>
  </x:si>
  <x:si>
    <x:t>GEAR_BasicShoes</x:t>
  </x:si>
  <x:si>
    <x:t>Leather Shoes</x:t>
  </x:si>
  <x:si>
    <x:t>Кожаные туфли</x:t>
  </x:si>
  <x:si>
    <x:t>GEAR_LeatherShoes</x:t>
  </x:si>
  <x:si>
    <x:t>Wool Ear Wrap</x:t>
  </x:si>
  <x:si>
    <x:t>Шерстяная повязка на уши</x:t>
  </x:si>
  <x:si>
    <x:t>GEAR_EarMuffs</x:t>
  </x:si>
  <x:si>
    <x:t>Gauntlets</x:t>
  </x:si>
  <x:si>
    <x:t>Краги</x:t>
  </x:si>
  <x:si>
    <x:t>GEAR_Gauntlets</x:t>
  </x:si>
  <x:si>
    <x:t>Long Wool Scarf</x:t>
  </x:si>
  <x:si>
    <x:t>Длинный шерстяной шарф</x:t>
  </x:si>
  <x:si>
    <x:t>GEAR_WoolWrap</x:t>
  </x:si>
  <x:si>
    <x:t>Aviator Cap</x:t>
  </x:si>
  <x:si>
    <x:t>Лётный шлем</x:t>
  </x:si>
  <x:si>
    <x:t>GEAR_HatLeatherAviatorA</x:t>
  </x:si>
  <x:si>
    <x:t>Trail Boots</x:t>
  </x:si>
  <x:si>
    <x:t>Походные ботинки</x:t>
  </x:si>
  <x:si>
    <x:t>GEAR_BasicBoots</x:t>
  </x:si>
  <x:si>
    <x:t>Work Boots</x:t>
  </x:si>
  <x:si>
    <x:t>Рабочие ботинки</x:t>
  </x:si>
  <x:si>
    <x:t>GEAR_WorkBoots</x:t>
  </x:si>
  <x:si>
    <x:t>Combat Boots</x:t>
  </x:si>
  <x:si>
    <x:t>Армейские ботинки</x:t>
  </x:si>
  <x:si>
    <x:t>GEAR_CombatBoots</x:t>
  </x:si>
  <x:si>
    <x:t>Ski Boots</x:t>
  </x:si>
  <x:si>
    <x:t>Лыжные ботинки</x:t>
  </x:si>
  <x:si>
    <x:t>GEAR_SkiBoots</x:t>
  </x:si>
  <x:si>
    <x:t>Technical Balaclava</x:t>
  </x:si>
  <x:si>
    <x:t>Техническая балаклава</x:t>
  </x:si>
  <x:si>
    <x:t>GEAR_HatGatorBalaclavaA</x:t>
  </x:si>
  <x:si>
    <x:t>Tactical Gloves</x:t>
  </x:si>
  <x:si>
    <x:t>Тактические перчатки</x:t>
  </x:si>
  <x:si>
    <x:t>GEAR_TacticalGloves</x:t>
  </x:si>
  <x:si>
    <x:t>Insulated Boots</x:t>
  </x:si>
  <x:si>
    <x:t>Утеплённые ботинки</x:t>
  </x:si>
  <x:si>
    <x:t>GEAR_InsulatedBoots</x:t>
  </x:si>
  <x:si>
    <x:t>Mukluks</x:t>
  </x:si>
  <x:si>
    <x:t>Муклуки</x:t>
  </x:si>
  <x:si>
    <x:t>GEAR_MuklukBoots</x:t>
  </x:si>
  <x:si>
    <x:t>Patterned Wool Socks (Moose)</x:t>
  </x:si>
  <x:si>
    <x:t>Шерстяные носки с лосями</x:t>
  </x:si>
  <x:si>
    <x:t>GEAR_SockMoose</x:t>
  </x:si>
  <x:si>
    <x:t>Patterned Wool Socks (Plaid)</x:t>
  </x:si>
  <x:si>
    <x:t>Шерстяные носки в клетку</x:t>
  </x:si>
  <x:si>
    <x:t>GEAR_SockPlaid</x:t>
  </x:si>
  <x:si>
    <x:t>Patterned Wool Socks (Dots)</x:t>
  </x:si>
  <x:si>
    <x:t>Шерстяные носки в горошек</x:t>
  </x:si>
  <x:si>
    <x:t>GEAR_SockDots</x:t>
  </x:si>
  <x:si>
    <x:t>Patterned Wool Mittens (Brown)</x:t>
  </x:si>
  <x:si>
    <x:t>Коричневые варежки с узором</x:t>
  </x:si>
  <x:si>
    <x:t>GEAR_MittenBrownStripe</x:t>
  </x:si>
  <x:si>
    <x:t>Patterned Wool Mittens (Burgundy)</x:t>
  </x:si>
  <x:si>
    <x:t>Бордовые варежки с узором</x:t>
  </x:si>
  <x:si>
    <x:t>GEAR_MittenBurgundyPattern</x:t>
  </x:si>
  <x:si>
    <x:t>Patterned Wool Mittens (Blue)</x:t>
  </x:si>
  <x:si>
    <x:t>Синие варежки с узором</x:t>
  </x:si>
  <x:si>
    <x:t>GEAR_MittenBlueStripe</x:t>
  </x:si>
  <x:si>
    <x:t>T-Shirt</x:t>
  </x:si>
  <x:si>
    <x:t>Футболка</x:t>
  </x:si>
  <x:si>
    <x:t>Одежда и верхняя одежда</x:t>
  </x:si>
  <x:si>
    <x:t>GEAR_TeeShirt</x:t>
  </x:si>
  <x:si>
    <x:t>Dress Shirt</x:t>
  </x:si>
  <x:si>
    <x:t>Рубашка</x:t>
  </x:si>
  <x:si>
    <x:t>GEAR_CottonShirt</x:t>
  </x:si>
  <x:si>
    <x:t>Plaid Shirt</x:t>
  </x:si>
  <x:si>
    <x:t>Клетчатая рубашка</x:t>
  </x:si>
  <x:si>
    <x:t>GEAR_PlaidShirt</x:t>
  </x:si>
  <x:si>
    <x:t>Hoodie</x:t>
  </x:si>
  <x:si>
    <x:t>Худи</x:t>
  </x:si>
  <x:si>
    <x:t>GEAR_CottonHoodie</x:t>
  </x:si>
  <x:si>
    <x:t>Sweatshirt</x:t>
  </x:si>
  <x:si>
    <x:t>Свитшот</x:t>
  </x:si>
  <x:si>
    <x:t>GEAR_FleeceSweater</x:t>
  </x:si>
  <x:si>
    <x:t>Jeans</x:t>
  </x:si>
  <x:si>
    <x:t>Джинсы</x:t>
  </x:si>
  <x:si>
    <x:t>GEAR_Jeans</x:t>
  </x:si>
  <x:si>
    <x:t>Work Pants</x:t>
  </x:si>
  <x:si>
    <x:t>Рабочие брюки</x:t>
  </x:si>
  <x:si>
    <x:t>GEAR_WorkPants</x:t>
  </x:si>
  <x:si>
    <x:t>Thermal Underwear</x:t>
  </x:si>
  <x:si>
    <x:t>Термобельё</x:t>
  </x:si>
  <x:si>
    <x:t>GEAR_LongUnderwear</x:t>
  </x:si>
  <x:si>
    <x:t>Wool Shirt</x:t>
  </x:si>
  <x:si>
    <x:t>Шерстяная рубашка</x:t>
  </x:si>
  <x:si>
    <x:t>GEAR_WoolShirt</x:t>
  </x:si>
  <x:si>
    <x:t>Thin Wool Sweater</x:t>
  </x:si>
  <x:si>
    <x:t>Тонкий шерстяной свитер</x:t>
  </x:si>
  <x:si>
    <x:t>GEAR_WoolSweater</x:t>
  </x:si>
  <x:si>
    <x:t>Sport Vest</x:t>
  </x:si>
  <x:si>
    <x:t>Спортивный жилет</x:t>
  </x:si>
  <x:si>
    <x:t>GEAR_InsulatedVest</x:t>
  </x:si>
  <x:si>
    <x:t>Down Vest</x:t>
  </x:si>
  <x:si>
    <x:t>Пуховый жилет</x:t>
  </x:si>
  <x:si>
    <x:t>GEAR_DownVest</x:t>
  </x:si>
  <x:si>
    <x:t>Hockey Jersey</x:t>
  </x:si>
  <x:si>
    <x:t>Хоккейный свитер</x:t>
  </x:si>
  <x:si>
    <x:t>GEAR_JerseyHockeyA</x:t>
  </x:si>
  <x:si>
    <x:t>Wool Longjohns</x:t>
  </x:si>
  <x:si>
    <x:t>Шерстяные кальсоны</x:t>
  </x:si>
  <x:si>
    <x:t>GEAR_LongUnderwearWool</x:t>
  </x:si>
  <x:si>
    <x:t>Combat Pants</x:t>
  </x:si>
  <x:si>
    <x:t>Армейские брюки</x:t>
  </x:si>
  <x:si>
    <x:t>GEAR_CombatPants</x:t>
  </x:si>
  <x:si>
    <x:t>Snow Pants</x:t>
  </x:si>
  <x:si>
    <x:t>Лыжные штаны</x:t>
  </x:si>
  <x:si>
    <x:t>GEAR_InsulatedPants</x:t>
  </x:si>
  <x:si>
    <x:t>Cargo Pants</x:t>
  </x:si>
  <x:si>
    <x:t>Брюки карго</x:t>
  </x:si>
  <x:si>
    <x:t>GEAR_CargoPants</x:t>
  </x:si>
  <x:si>
    <x:t>Windbreaker</x:t>
  </x:si>
  <x:si>
    <x:t>Ветровка</x:t>
  </x:si>
  <x:si>
    <x:t>GEAR_BasicWinterCoat</x:t>
  </x:si>
  <x:si>
    <x:t>Light Shell</x:t>
  </x:si>
  <x:si>
    <x:t>Лёгкая куртка</x:t>
  </x:si>
  <x:si>
    <x:t>GEAR_SkiJacket</x:t>
  </x:si>
  <x:si>
    <x:t>Simple Parka</x:t>
  </x:si>
  <x:si>
    <x:t>Простая парка</x:t>
  </x:si>
  <x:si>
    <x:t>GEAR_LightParka</x:t>
  </x:si>
  <x:si>
    <x:t>Thick Wool Sweater</x:t>
  </x:si>
  <x:si>
    <x:t>Толстый шерстяной свитер</x:t>
  </x:si>
  <x:si>
    <x:t>GEAR_HeavyWoolSweater</x:t>
  </x:si>
  <x:si>
    <x:t>Fisherman's Sweater</x:t>
  </x:si>
  <x:si>
    <x:t>Рыбацкий свитер</x:t>
  </x:si>
  <x:si>
    <x:t>GEAR_FishermanSweater</x:t>
  </x:si>
  <x:si>
    <x:t>Cowichan Sweater</x:t>
  </x:si>
  <x:si>
    <x:t>Свитер «Кавичан»</x:t>
  </x:si>
  <x:si>
    <x:t>GEAR_CowichanSweater</x:t>
  </x:si>
  <x:si>
    <x:t>Ski Jacket</x:t>
  </x:si>
  <x:si>
    <x:t>Лыжная куртка</x:t>
  </x:si>
  <x:si>
    <x:t>GEAR_DownSkiJacket</x:t>
  </x:si>
  <x:si>
    <x:t>Urban Parka</x:t>
  </x:si>
  <x:si>
    <x:t>Городская парка</x:t>
  </x:si>
  <x:si>
    <x:t>GEAR_DownParka</x:t>
  </x:si>
  <x:si>
    <x:t>Military Coat</x:t>
  </x:si>
  <x:si>
    <x:t>Армейская шинель</x:t>
  </x:si>
  <x:si>
    <x:t>GEAR_MilitaryParka</x:t>
  </x:si>
  <x:si>
    <x:t>Old Fashioned Parka</x:t>
  </x:si>
  <x:si>
    <x:t>Старомодная парка</x:t>
  </x:si>
  <x:si>
    <x:t>GEAR_HeavyParka</x:t>
  </x:si>
  <x:si>
    <x:t>Expedition Parka</x:t>
  </x:si>
  <x:si>
    <x:t>Экспедиционная парка</x:t>
  </x:si>
  <x:si>
    <x:t>GEAR_PremiumWinterCoat</x:t>
  </x:si>
  <x:si>
    <x:t>Mariner's Pea Coat</x:t>
  </x:si>
  <x:si>
    <x:t>Морской бушлат</x:t>
  </x:si>
  <x:si>
    <x:t>GEAR_QualityWinterCoat</x:t>
  </x:si>
  <x:si>
    <x:t>Mackinaw Jacket</x:t>
  </x:si>
  <x:si>
    <x:t>Куртка «Макино»</x:t>
  </x:si>
  <x:si>
    <x:t>GEAR_MackinawJacket</x:t>
  </x:si>
  <x:si>
    <x:t>Flight Jacket</x:t>
  </x:si>
  <x:si>
    <x:t>Лётная куртка</x:t>
  </x:si>
  <x:si>
    <x:t>GEAR_JacketLeatherFlightA</x:t>
  </x:si>
  <x:si>
    <x:t>T-Shirt (GBI)</x:t>
  </x:si>
  <x:si>
    <x:t>Футболка «GBI»</x:t>
  </x:si>
  <x:si>
    <x:t>GEAR_TShirtGBI</x:t>
  </x:si>
  <x:si>
    <x:t>T-Shirt (CM)</x:t>
  </x:si>
  <x:si>
    <x:t>Футболка «CM»</x:t>
  </x:si>
  <x:si>
    <x:t>GEAR_TShirtCM</x:t>
  </x:si>
  <x:si>
    <x:t>T-Shirt (Snappy)</x:t>
  </x:si>
  <x:si>
    <x:t>Футболка «Snappy»</x:t>
  </x:si>
  <x:si>
    <x:t>GEAR_TShirtSnappy</x:t>
  </x:si>
  <x:si>
    <x:t>Tactical Jacket</x:t>
  </x:si>
  <x:si>
    <x:t>Тактическая куртка</x:t>
  </x:si>
  <x:si>
    <x:t>GEAR_TacticalJacket</x:t>
  </x:si>
  <x:si>
    <x:t>Доля (вес)</x:t>
  </x:si>
  <x:si>
    <x:t>Доля, %</x:t>
  </x:si>
  <x:si>
    <x:t>Предметов</x:t>
  </x:si>
  <x:si>
    <x:t>Сумма весов</x:t>
  </x:si>
  <x:si>
    <x:t>«Обычный» предмет, % улова</x:t>
  </x:si>
  <x:si>
    <x:t>Любой предмет категории: 1 раз на N рыб (1 уровень)</x:t>
  </x:si>
  <x:si>
    <x:t>Любой предмет категории: ≈ раз в N дней</x:t>
  </x:si>
  <x:si>
    <x:t>Итого</x:t>
  </x:si>
  <x:si>
    <x:t>Доли не обязаны давать в сумме 100: считается соотношение.</x:t>
  </x:si>
  <x:si>
    <x:t>Родная категория</x:t>
  </x:si>
  <x:si>
    <x:t>Уровень, если включить</x:t>
  </x:si>
  <x:si>
    <x:t>Почему удалён</x:t>
  </x:si>
  <x:si>
    <x:t>Newsprint</x:t>
  </x:si>
  <x:si>
    <x:t>Газета</x:t>
  </x:si>
  <x:si>
    <x:t>GEAR_Newsprint</x:t>
  </x:si>
  <x:si>
    <x:t>размокнет</x:t>
  </x:si>
  <x:si>
    <x:t>Newsprint Roll</x:t>
  </x:si>
  <x:si>
    <x:t>Рулон газет</x:t>
  </x:si>
  <x:si>
    <x:t>GEAR_NewsprintRoll</x:t>
  </x:si>
  <x:si>
    <x:t>Stack of Papers</x:t>
  </x:si>
  <x:si>
    <x:t>Стопка бумаги</x:t>
  </x:si>
  <x:si>
    <x:t>GEAR_PaperStack</x:t>
  </x:si>
  <x:si>
    <x:t>Book</x:t>
  </x:si>
  <x:si>
    <x:t>Книга</x:t>
  </x:si>
  <x:si>
    <x:t>GEAR_BookA … GEAR_BookI</x:t>
  </x:si>
  <x:si>
    <x:t>Stone</x:t>
  </x:si>
  <x:si>
    <x:t>Камень</x:t>
  </x:si>
  <x:si>
    <x:t>GEAR_Stone</x:t>
  </x:si>
  <x:si>
    <x:t>решено не добавлять</x:t>
  </x:si>
  <x:si>
    <x:t>The Frozen Angler</x:t>
  </x:si>
  <x:si>
    <x:t>Книга «Замёрзший рыболов»</x:t>
  </x:si>
  <x:si>
    <x:t>GEAR_BookIceFishing</x:t>
  </x:si>
  <x:si>
    <x:t>Can Opener</x:t>
  </x:si>
  <x:si>
    <x:t>Консервный нож</x:t>
  </x:si>
  <x:si>
    <x:t>GEAR_CanOpener</x:t>
  </x:si>
  <x:si>
    <x:t>нет в Beachcombing по вики</x:t>
  </x:si>
  <x:si>
    <x:t>Rabbit Carcass</x:t>
  </x:si>
  <x:si>
    <x:t>Тушка зайца</x:t>
  </x:si>
  <x:si>
    <x:t>GEAR_RabbitCarcass</x:t>
  </x:si>
  <x:si>
    <x:t>решено удалить</x:t>
  </x:si>
  <x:si>
    <x:t>Water (Potable)</x:t>
  </x:si>
  <x:si>
    <x:t>Питьевая вода 0.5 л</x:t>
  </x:si>
  <x:si>
    <x:t>GEAR_Water500ml</x:t>
  </x:si>
  <x:si>
    <x:t>в 2.x это жидкость</x:t>
  </x:si>
  <x:si>
    <x:t>Coho Salmon (Raw)</x:t>
  </x:si>
  <x:si>
    <x:t>Кижуч (сырой)</x:t>
  </x:si>
  <x:si>
    <x:t>GEAR_RawCohoSalmon</x:t>
  </x:si>
  <x:si>
    <x:t>рыба и так ловится</x:t>
  </x:si>
  <x:si>
    <x:t>Smallmouth Bass (Raw)</x:t>
  </x:si>
  <x:si>
    <x:t>Малоротый окунь (сырой)</x:t>
  </x:si>
  <x:si>
    <x:t>GEAR_RawSmallMouthBass</x:t>
  </x:si>
  <x:si>
    <x:t>Cat Tail Head</x:t>
  </x:si>
  <x:si>
    <x:t>Початок рогоза</x:t>
  </x:si>
  <x:si>
    <x:t>GEAR_CattailTinder</x:t>
  </x:si>
  <x:si>
    <x:t>Crow Feather</x:t>
  </x:si>
  <x:si>
    <x:t>Воронье перо</x:t>
  </x:si>
  <x:si>
    <x:t>GEAR_CrowFeather</x:t>
  </x:si>
  <x:si>
    <x:t>Lantern Fuel</x:t>
  </x:si>
  <x:si>
    <x:t>Керосин</x:t>
  </x:si>
  <x:si>
    <x:t>GEAR_LampFuel</x:t>
  </x:si>
  <x:si>
    <x:t>топливо даёт рыба</x:t>
  </x:si>
  <x:si>
    <x:t>Cured Rabbit Pelt</x:t>
  </x:si>
  <x:si>
    <x:t>Выделанная заячья шкурка</x:t>
  </x:si>
  <x:si>
    <x:t>GEAR_RabbitPeltDried</x:t>
  </x:si>
  <x:si>
    <x:t>легко добыть силками</x:t>
  </x:si>
  <x:si>
    <x:t>Bandage</x:t>
  </x:si>
  <x:si>
    <x:t>Бинт</x:t>
  </x:si>
  <x:si>
    <x:t>GEAR_HeavyBandage</x:t>
  </x:si>
  <x:si>
    <x:t>крафтится из ткани</x:t>
  </x:si>
  <x:si>
    <x:t>Tinder Plug</x:t>
  </x:si>
  <x:si>
    <x:t>Трут</x:t>
  </x:si>
  <x:si>
    <x:t>GEAR_Tinder</x:t>
  </x:si>
  <x:si>
    <x:t>крафтится из палки</x:t>
  </x:si>
  <x:si>
    <x:t>По умолчанию не выпадают (0%). Каждый можно включить в настройках мода — тогда он вернётся в родную категорию с указанным уровнем.</x:t>
  </x:si>
  <x:si>
    <x:t>Почему не добавлен</x:t>
  </x:si>
  <x:si>
    <x:t>Tip-Up</x:t>
  </x:si>
  <x:si>
    <x:t>Жерлица</x:t>
  </x:si>
  <x:si>
    <x:t>Snare</x:t>
  </x:si>
  <x:si>
    <x:t>Силок</x:t>
  </x:si>
  <x:si>
    <x:t>Bullet</x:t>
  </x:si>
  <x:si>
    <x:t>Пуля</x:t>
  </x:si>
  <x:si>
    <x:t>одна пуля бесполезна, свинец и гильзы уже есть</x:t>
  </x:si>
  <x:si>
    <x:t>Fishing Lure (Casing / Acorn / Wire)</x:t>
  </x:si>
  <x:si>
    <x:t>Блёсны из гильзы / жёлудя / проволоки</x:t>
  </x:si>
  <x:si>
    <x:t>крафтятся из того, что и так ловится</x:t>
  </x:si>
  <x:si>
    <x:t>Prybar</x:t>
  </x:si>
  <x:si>
    <x:t>Монтировка</x:t>
  </x:si>
  <x:si>
    <x:t>бесполезна</x:t>
  </x:si>
  <x:si>
    <x:t>Magnifying Lens</x:t>
  </x:si>
  <x:si>
    <x:t>Увеличительное стекло</x:t>
  </x:si>
  <x:si>
    <x:t>больше одной за игру не нужно</x:t>
  </x:si>
  <x:si>
    <x:t>Mountaineering Rope</x:t>
  </x:si>
  <x:si>
    <x:t>Альпинистская верёвка</x:t>
  </x:si>
  <x:si>
    <x:t>Car Battery</x:t>
  </x:si>
  <x:si>
    <x:t>Автомобильный аккумулятор</x:t>
  </x:si>
  <x:si>
    <x:t>тяжёлый, не пролезет в лунку</x:t>
  </x:si>
  <x:si>
    <x:t>Fishing Bait</x:t>
  </x:si>
  <x:si>
    <x:t>Наживка</x:t>
  </x:si>
  <x:si>
    <x:t>под водой её съела бы рыба</x:t>
  </x:si>
  <x:si>
    <x:t>Salt</x:t>
  </x:si>
  <x:si>
    <x:t>Соль (DLC)</x:t>
  </x:si>
  <x:si>
    <x:t>растворилась бы</x:t>
  </x:si>
  <x:si>
    <x:t>Hunting Rifle, Revolver</x:t>
  </x:si>
  <x:si>
    <x:t>Охотничья винтовка, револьвер</x:t>
  </x:si>
  <x:si>
    <x:t>слишком сильные</x:t>
  </x:si>
  <x:si>
    <x:t>Handheld Shortwave, notes, keys, polaroids</x:t>
  </x:si>
  <x:si>
    <x:t>Рация, сюжетные предметы</x:t>
  </x:si>
  <x:si>
    <x:t>сюжетные</x:t>
  </x:si>
  <x:si>
    <x:t>Cooking Oil</x:t>
  </x:si>
  <x:si>
    <x:t>Растительное масло (DLC)</x:t>
  </x:si>
  <x:si>
    <x:t>легко сделать самому, всегда в избытке</x:t>
  </x:si>
  <x:si>
    <x:t>Airline Food (Chicken / Vegetarian)</x:t>
  </x:si>
  <x:si>
    <x:t>Бортовое питание</x:t>
  </x:si>
  <x:si>
    <x:t>не выбрано</x:t>
  </x:si>
  <x:si>
    <x:t>Crampons</x:t>
  </x:si>
  <x:si>
    <x:t>Кошки</x:t>
  </x:si>
  <x:si>
    <x:t>Miner's Flashlight</x:t>
  </x:si>
  <x:si>
    <x:t>Шахтёрский фонарь (DLC)</x:t>
  </x:si>
  <x:si>
    <x:t>Hardhat, Miner's Jacket, Miner's Pants, Chemical Boots, Foreman's Tool Belt</x:t>
  </x:si>
  <x:si>
    <x:t>Одежда шахтёра (DLC)</x:t>
  </x:si>
  <x:si>
    <x:t>Camera</x:t>
  </x:si>
  <x:si>
    <x:t>Фотоаппарат (DLC)</x:t>
  </x:si>
  <x:si>
    <x:t>Respirator</x:t>
  </x:si>
  <x:si>
    <x:t>Респиратор (DLC)</x:t>
  </x:si>
  <x:si>
    <x:t>ключевой сюжетный предмет Tales</x:t>
  </x:si>
  <x:si>
    <x:t>Dried Apples, Cereal</x:t>
  </x:si>
  <x:si>
    <x:t>Сушёные яблоки, хлопья (DLC)</x:t>
  </x:si>
  <x:si>
    <x:t>бумажная упаковка размокнет</x:t>
  </x:si>
  <x:si>
    <x:t>Ptarmigan Down</x:t>
  </x:si>
  <x:si>
    <x:t>Пух куропатки</x:t>
  </x:si>
  <x:si>
    <x:t>перья убраны</x:t>
  </x:si>
  <x:si>
    <x:t>Bedroll</x:t>
  </x:si>
  <x:si>
    <x:t>Спальник</x:t>
  </x:si>
  <x:si>
    <x:t>большой, не пролезет в лунку</x:t>
  </x:si>
  <x:si>
    <x:t>Pickled Eggs / Onions, Canned Peas and Carrots</x:t>
  </x:si>
  <x:si>
    <x:t>Маринованные яйца / лук, горошек с морковью</x:t>
  </x:si>
  <x:si>
    <x:t>похоже на вырезанный контент</x:t>
  </x:si>
  <x:si>
    <x:t>Все предметы по категориям. Значения берутся с листа «Предметы» — меняйте уровни там или доли на листе «Категории».</x:t>
  </x:si>
  <x:si>
    <x:t>доля категории:</x:t>
  </x:si>
  <x:si>
    <x:t>Item</x:t>
  </x:si>
  <x:si>
    <x:t>≈ раз в N дней рыбалки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</x:si>
</x:sst>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0%"/>
    <x:numFmt numFmtId="165" formatCode="0.0"/>
    <x:numFmt numFmtId="166" formatCode="0.0%"/>
    <x:numFmt numFmtId="167" formatCode="0.00%"/>
    <x:numFmt numFmtId="168" formatCode="#,##0"/>
    <x:numFmt numFmtId="169" formatCode="#,##0.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2"/>
      <x:color rgb="FF000000"/>
      <x:name val="Arial"/>
      <x:family val="2"/>
    </x:font>
    <x:font>
      <x:vertAlign val="baseline"/>
      <x:sz val="10"/>
      <x:color rgb="FF0000FF"/>
      <x:name val="Arial"/>
      <x:family val="2"/>
    </x:font>
    <x:font>
      <x:b/>
      <x:vertAlign val="baseline"/>
      <x:sz val="10"/>
      <x:color rgb="FF000000"/>
      <x:name val="Arial"/>
      <x:family val="2"/>
    </x:font>
    <x:font>
      <x:i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DE5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5">
    <x:dxf>
      <x:fill>
        <x:patternFill patternType="solid">
          <x:fgColor auto="1"/>
          <x:bgColor rgb="FFD6EAF8"/>
        </x:patternFill>
      </x:fill>
    </x:dxf>
    <x:dxf>
      <x:fill>
        <x:patternFill patternType="solid">
          <x:fgColor auto="1"/>
          <x:bgColor rgb="FFE2EFDA"/>
        </x:patternFill>
      </x:fill>
    </x:dxf>
    <x:dxf>
      <x:fill>
        <x:patternFill patternType="solid">
          <x:fgColor auto="1"/>
          <x:bgColor rgb="FFFFF2CC"/>
        </x:patternFill>
      </x:fill>
    </x:dxf>
    <x:dxf>
      <x:fill>
        <x:patternFill patternType="solid">
          <x:fgColor auto="1"/>
          <x:bgColor rgb="FFFCE4D6"/>
        </x:patternFill>
      </x:fill>
    </x:dxf>
    <x:dxf>
      <x:fill>
        <x:patternFill patternType="solid">
          <x:fgColor auto="1"/>
          <x:bgColor rgb="FFEAD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/>
  </x:sheetViews>
  <x:sheetFormatPr defaultRowHeight="15"/>
  <x:cols>
    <x:col min="4" max="16384" width="9.140625" style="1" customWidth="1"/>
    <x:col min="1" max="1" width="62.710625" style="1" customWidth="1"/>
    <x:col min="2" max="2" width="10.710625" style="1" customWidth="1"/>
    <x:col min="3" max="3" width="44.710625" style="1" customWidth="1"/>
  </x:cols>
  <x:sheetData>
    <x:row r="1" spans="1:3">
      <x:c r="A1" s="2" t="s">
        <x:v>0</x:v>
      </x:c>
    </x:row>
    <x:row r="3" spans="1:3">
      <x:c r="A3" s="1" t="s">
        <x:v>1</x:v>
      </x:c>
      <x:c r="B3" s="3">
        <x:v>0.25</x:v>
      </x:c>
      <x:c r="C3" s="1" t="s">
        <x:v>10</x:v>
      </x:c>
    </x:row>
    <x:row r="4" spans="1:3">
      <x:c r="A4" s="1" t="s">
        <x:v>2</x:v>
      </x:c>
      <x:c r="B4" s="3">
        <x:v>0.05</x:v>
      </x:c>
      <x:c r="C4" s="1" t="s">
        <x:v>10</x:v>
      </x:c>
    </x:row>
    <x:row r="5" spans="1:3">
      <x:c r="A5" s="1" t="s">
        <x:v>3</x:v>
      </x:c>
      <x:c r="B5" s="4">
        <x:v>5</x:v>
      </x:c>
    </x:row>
    <x:row r="6" spans="1:3">
      <x:c r="A6" s="1" t="s">
        <x:v>4</x:v>
      </x:c>
      <x:c r="B6" s="5">
        <x:f>MIN(1,B3+B4*(B5-1))</x:f>
      </x:c>
    </x:row>
    <x:row r="7" spans="1:3">
      <x:c r="A7" s="1" t="s">
        <x:v>5</x:v>
      </x:c>
      <x:c r="B7" s="4">
        <x:v>25</x:v>
      </x:c>
      <x:c r="C7" s="1" t="s">
        <x:v>11</x:v>
      </x:c>
    </x:row>
    <x:row r="8" spans="1:3">
      <x:c r="A8" s="1" t="s">
        <x:v>6</x:v>
      </x:c>
      <x:c r="B8" s="6">
        <x:f>B6*B7</x:f>
      </x:c>
    </x:row>
    <x:row r="9" spans="1:3">
      <x:c r="A9" s="1" t="s">
        <x:v>7</x:v>
      </x:c>
      <x:c r="B9" s="4" t="s">
        <x:v>8</x:v>
      </x:c>
      <x:c r="C9" s="1" t="s">
        <x:v>9</x:v>
      </x:c>
    </x:row>
    <x:row r="10" spans="1:3">
      <x:c r="A10" s="7" t="s">
        <x:v>12</x:v>
      </x:c>
    </x:row>
    <x:row r="11" spans="1:3">
      <x:c r="A11" s="1" t="s">
        <x:v>13</x:v>
      </x:c>
    </x:row>
    <x:row r="12" spans="1:3">
      <x:c r="A12" s="1" t="s">
        <x:v>14</x:v>
      </x:c>
    </x:row>
    <x:row r="13" spans="1:3">
      <x:c r="A13" s="1" t="s">
        <x:v>15</x:v>
      </x:c>
    </x:row>
    <x:row r="14" spans="1:3">
      <x:c r="A14" s="1" t="s">
        <x:v>16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B9:B9">
      <x:formula1>"да,нет"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1" customWidth="1"/>
    <x:col min="1" max="1" width="30.710625" style="1" customWidth="1"/>
    <x:col min="2" max="2" width="10.710625" style="1" customWidth="1"/>
    <x:col min="3" max="3" width="9.710625" style="1" customWidth="1"/>
    <x:col min="4" max="5" width="10.710625" style="1" customWidth="1"/>
    <x:col min="6" max="6" width="13.710625" style="1" customWidth="1"/>
    <x:col min="7" max="7" width="18.710625" style="1" customWidth="1"/>
    <x:col min="8" max="8" width="16.710625" style="1" customWidth="1"/>
  </x:cols>
  <x:sheetData>
    <x:row r="1" spans="1:8" ht="42" customHeight="1">
      <x:c r="A1" s="8" t="s">
        <x:v>28</x:v>
      </x:c>
      <x:c r="B1" s="8" t="s">
        <x:v>570</x:v>
      </x:c>
      <x:c r="C1" s="8" t="s">
        <x:v>571</x:v>
      </x:c>
      <x:c r="D1" s="8" t="s">
        <x:v>572</x:v>
      </x:c>
      <x:c r="E1" s="8" t="s">
        <x:v>573</x:v>
      </x:c>
      <x:c r="F1" s="8" t="s">
        <x:v>574</x:v>
      </x:c>
      <x:c r="G1" s="8" t="s">
        <x:v>575</x:v>
      </x:c>
      <x:c r="H1" s="8" t="s">
        <x:v>576</x:v>
      </x:c>
    </x:row>
    <x:row r="2" spans="1:8">
      <x:c r="A2" s="1" t="s">
        <x:v>40</x:v>
      </x:c>
      <x:c r="B2" s="4">
        <x:v>35</x:v>
      </x:c>
      <x:c r="C2" s="9">
        <x:f>B2/SUM($B$2:$B$10)</x:f>
      </x:c>
      <x:c r="D2" s="1">
        <x:f>COUNTIFS(Предметы!$C$2:$C$174,A2,Предметы!$I$2:$I$174,"&gt;0")</x:f>
      </x:c>
      <x:c r="E2" s="6">
        <x:f>SUMIFS(Предметы!$I$2:$I$174,Предметы!$C$2:$C$174,A2)</x:f>
      </x:c>
      <x:c r="F2" s="10">
        <x:f>IF(E2=0,0,C2*INDEX(Уровни!$B$2:$B$7,MATCH("Обычный",Уровни!$A$2:$A$7,0))/E2)</x:f>
      </x:c>
      <x:c r="G2" s="11">
        <x:f>IF(C2=0,"—",1/(C2*Параметры!$B$3))</x:f>
      </x:c>
      <x:c r="H2" s="12">
        <x:f>IF(C2=0,"—",1/(C2*Параметры!$B$8))</x:f>
      </x:c>
    </x:row>
    <x:row r="3" spans="1:8">
      <x:c r="A3" s="1" t="s">
        <x:v>102</x:v>
      </x:c>
      <x:c r="B3" s="4">
        <x:v>9</x:v>
      </x:c>
      <x:c r="C3" s="9">
        <x:f>B3/SUM($B$2:$B$10)</x:f>
      </x:c>
      <x:c r="D3" s="1">
        <x:f>COUNTIFS(Предметы!$C$2:$C$174,A3,Предметы!$I$2:$I$174,"&gt;0")</x:f>
      </x:c>
      <x:c r="E3" s="6">
        <x:f>SUMIFS(Предметы!$I$2:$I$174,Предметы!$C$2:$C$174,A3)</x:f>
      </x:c>
      <x:c r="F3" s="10">
        <x:f>IF(E3=0,0,C3*INDEX(Уровни!$B$2:$B$7,MATCH("Обычный",Уровни!$A$2:$A$7,0))/E3)</x:f>
      </x:c>
      <x:c r="G3" s="11">
        <x:f>IF(C3=0,"—",1/(C3*Параметры!$B$3))</x:f>
      </x:c>
      <x:c r="H3" s="12">
        <x:f>IF(C3=0,"—",1/(C3*Параметры!$B$8))</x:f>
      </x:c>
    </x:row>
    <x:row r="4" spans="1:8">
      <x:c r="A4" s="1" t="s">
        <x:v>130</x:v>
      </x:c>
      <x:c r="B4" s="4">
        <x:v>12</x:v>
      </x:c>
      <x:c r="C4" s="9">
        <x:f>B4/SUM($B$2:$B$10)</x:f>
      </x:c>
      <x:c r="D4" s="1">
        <x:f>COUNTIFS(Предметы!$C$2:$C$174,A4,Предметы!$I$2:$I$174,"&gt;0")</x:f>
      </x:c>
      <x:c r="E4" s="6">
        <x:f>SUMIFS(Предметы!$I$2:$I$174,Предметы!$C$2:$C$174,A4)</x:f>
      </x:c>
      <x:c r="F4" s="10">
        <x:f>IF(E4=0,0,C4*INDEX(Уровни!$B$2:$B$7,MATCH("Обычный",Уровни!$A$2:$A$7,0))/E4)</x:f>
      </x:c>
      <x:c r="G4" s="11">
        <x:f>IF(C4=0,"—",1/(C4*Параметры!$B$3))</x:f>
      </x:c>
      <x:c r="H4" s="12">
        <x:f>IF(C4=0,"—",1/(C4*Параметры!$B$8))</x:f>
      </x:c>
    </x:row>
    <x:row r="5" spans="1:8">
      <x:c r="A5" s="1" t="s">
        <x:v>164</x:v>
      </x:c>
      <x:c r="B5" s="4">
        <x:v>8</x:v>
      </x:c>
      <x:c r="C5" s="9">
        <x:f>B5/SUM($B$2:$B$10)</x:f>
      </x:c>
      <x:c r="D5" s="1">
        <x:f>COUNTIFS(Предметы!$C$2:$C$174,A5,Предметы!$I$2:$I$174,"&gt;0")</x:f>
      </x:c>
      <x:c r="E5" s="6">
        <x:f>SUMIFS(Предметы!$I$2:$I$174,Предметы!$C$2:$C$174,A5)</x:f>
      </x:c>
      <x:c r="F5" s="10">
        <x:f>IF(E5=0,0,C5*INDEX(Уровни!$B$2:$B$7,MATCH("Обычный",Уровни!$A$2:$A$7,0))/E5)</x:f>
      </x:c>
      <x:c r="G5" s="11">
        <x:f>IF(C5=0,"—",1/(C5*Параметры!$B$3))</x:f>
      </x:c>
      <x:c r="H5" s="12">
        <x:f>IF(C5=0,"—",1/(C5*Параметры!$B$8))</x:f>
      </x:c>
    </x:row>
    <x:row r="6" spans="1:8">
      <x:c r="A6" s="1" t="s">
        <x:v>210</x:v>
      </x:c>
      <x:c r="B6" s="4">
        <x:v>13</x:v>
      </x:c>
      <x:c r="C6" s="9">
        <x:f>B6/SUM($B$2:$B$10)</x:f>
      </x:c>
      <x:c r="D6" s="1">
        <x:f>COUNTIFS(Предметы!$C$2:$C$174,A6,Предметы!$I$2:$I$174,"&gt;0")</x:f>
      </x:c>
      <x:c r="E6" s="6">
        <x:f>SUMIFS(Предметы!$I$2:$I$174,Предметы!$C$2:$C$174,A6)</x:f>
      </x:c>
      <x:c r="F6" s="10">
        <x:f>IF(E6=0,0,C6*INDEX(Уровни!$B$2:$B$7,MATCH("Обычный",Уровни!$A$2:$A$7,0))/E6)</x:f>
      </x:c>
      <x:c r="G6" s="11">
        <x:f>IF(C6=0,"—",1/(C6*Параметры!$B$3))</x:f>
      </x:c>
      <x:c r="H6" s="12">
        <x:f>IF(C6=0,"—",1/(C6*Параметры!$B$8))</x:f>
      </x:c>
    </x:row>
    <x:row r="7" spans="1:8">
      <x:c r="A7" s="1" t="s">
        <x:v>289</x:v>
      </x:c>
      <x:c r="B7" s="4">
        <x:v>3</x:v>
      </x:c>
      <x:c r="C7" s="9">
        <x:f>B7/SUM($B$2:$B$10)</x:f>
      </x:c>
      <x:c r="D7" s="1">
        <x:f>COUNTIFS(Предметы!$C$2:$C$174,A7,Предметы!$I$2:$I$174,"&gt;0")</x:f>
      </x:c>
      <x:c r="E7" s="6">
        <x:f>SUMIFS(Предметы!$I$2:$I$174,Предметы!$C$2:$C$174,A7)</x:f>
      </x:c>
      <x:c r="F7" s="10">
        <x:f>IF(E7=0,0,C7*INDEX(Уровни!$B$2:$B$7,MATCH("Обычный",Уровни!$A$2:$A$7,0))/E7)</x:f>
      </x:c>
      <x:c r="G7" s="11">
        <x:f>IF(C7=0,"—",1/(C7*Параметры!$B$3))</x:f>
      </x:c>
      <x:c r="H7" s="12">
        <x:f>IF(C7=0,"—",1/(C7*Параметры!$B$8))</x:f>
      </x:c>
    </x:row>
    <x:row r="8" spans="1:8">
      <x:c r="A8" s="1" t="s">
        <x:v>338</x:v>
      </x:c>
      <x:c r="B8" s="4">
        <x:v>2</x:v>
      </x:c>
      <x:c r="C8" s="9">
        <x:f>B8/SUM($B$2:$B$10)</x:f>
      </x:c>
      <x:c r="D8" s="1">
        <x:f>COUNTIFS(Предметы!$C$2:$C$174,A8,Предметы!$I$2:$I$174,"&gt;0")</x:f>
      </x:c>
      <x:c r="E8" s="6">
        <x:f>SUMIFS(Предметы!$I$2:$I$174,Предметы!$C$2:$C$174,A8)</x:f>
      </x:c>
      <x:c r="F8" s="10">
        <x:f>IF(E8=0,0,C8*INDEX(Уровни!$B$2:$B$7,MATCH("Обычный",Уровни!$A$2:$A$7,0))/E8)</x:f>
      </x:c>
      <x:c r="G8" s="11">
        <x:f>IF(C8=0,"—",1/(C8*Параметры!$B$3))</x:f>
      </x:c>
      <x:c r="H8" s="12">
        <x:f>IF(C8=0,"—",1/(C8*Параметры!$B$8))</x:f>
      </x:c>
    </x:row>
    <x:row r="9" spans="1:8">
      <x:c r="A9" s="1" t="s">
        <x:v>363</x:v>
      </x:c>
      <x:c r="B9" s="4">
        <x:v>12</x:v>
      </x:c>
      <x:c r="C9" s="9">
        <x:f>B9/SUM($B$2:$B$10)</x:f>
      </x:c>
      <x:c r="D9" s="1">
        <x:f>COUNTIFS(Предметы!$C$2:$C$174,A9,Предметы!$I$2:$I$174,"&gt;0")</x:f>
      </x:c>
      <x:c r="E9" s="6">
        <x:f>SUMIFS(Предметы!$I$2:$I$174,Предметы!$C$2:$C$174,A9)</x:f>
      </x:c>
      <x:c r="F9" s="10">
        <x:f>IF(E9=0,0,C9*INDEX(Уровни!$B$2:$B$7,MATCH("Обычный",Уровни!$A$2:$A$7,0))/E9)</x:f>
      </x:c>
      <x:c r="G9" s="11">
        <x:f>IF(C9=0,"—",1/(C9*Параметры!$B$3))</x:f>
      </x:c>
      <x:c r="H9" s="12">
        <x:f>IF(C9=0,"—",1/(C9*Параметры!$B$8))</x:f>
      </x:c>
    </x:row>
    <x:row r="10" spans="1:8">
      <x:c r="A10" s="1" t="s">
        <x:v>466</x:v>
      </x:c>
      <x:c r="B10" s="4">
        <x:v>6</x:v>
      </x:c>
      <x:c r="C10" s="9">
        <x:f>B10/SUM($B$2:$B$10)</x:f>
      </x:c>
      <x:c r="D10" s="1">
        <x:f>COUNTIFS(Предметы!$C$2:$C$174,A10,Предметы!$I$2:$I$174,"&gt;0")</x:f>
      </x:c>
      <x:c r="E10" s="6">
        <x:f>SUMIFS(Предметы!$I$2:$I$174,Предметы!$C$2:$C$174,A10)</x:f>
      </x:c>
      <x:c r="F10" s="10">
        <x:f>IF(E10=0,0,C10*INDEX(Уровни!$B$2:$B$7,MATCH("Обычный",Уровни!$A$2:$A$7,0))/E10)</x:f>
      </x:c>
      <x:c r="G10" s="11">
        <x:f>IF(C10=0,"—",1/(C10*Параметры!$B$3))</x:f>
      </x:c>
      <x:c r="H10" s="12">
        <x:f>IF(C10=0,"—",1/(C10*Параметры!$B$8))</x:f>
      </x:c>
    </x:row>
    <x:row r="11" spans="1:8">
      <x:c r="A11" s="7" t="s">
        <x:v>577</x:v>
      </x:c>
      <x:c r="B11" s="1">
        <x:f>SUM(B2:B10)</x:f>
      </x:c>
      <x:c r="C11" s="9">
        <x:f>SUM(C2:C10)</x:f>
      </x:c>
      <x:c r="D11" s="1">
        <x:f>SUM(D2:D10)</x:f>
      </x:c>
      <x:c r="E11" s="6"/>
      <x:c r="F11" s="10"/>
      <x:c r="G11" s="11"/>
      <x:c r="H11" s="12"/>
    </x:row>
    <x:row r="13" spans="1:8">
      <x:c r="A13" s="1" t="s">
        <x:v>578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09"/>
  <x:sheetViews>
    <x:sheetView workbookViewId="0"/>
  </x:sheetViews>
  <x:sheetFormatPr defaultRowHeight="15"/>
  <x:cols>
    <x:col min="7" max="16384" width="9.140625" style="1" customWidth="1"/>
    <x:col min="1" max="1" width="40.710625" style="1" customWidth="1"/>
    <x:col min="2" max="2" width="30.710625" style="1" customWidth="1"/>
    <x:col min="3" max="3" width="15.710625" style="1" customWidth="1"/>
    <x:col min="4" max="5" width="12.710625" style="1" customWidth="1"/>
    <x:col min="6" max="6" width="14.710625" style="1" customWidth="1"/>
  </x:cols>
  <x:sheetData>
    <x:row r="1" spans="1:6">
      <x:c r="A1" s="13" t="s">
        <x:v>707</x:v>
      </x:c>
    </x:row>
    <x:row r="3" spans="1:6">
      <x:c r="A3" s="2" t="s">
        <x:v>40</x:v>
      </x:c>
      <x:c r="B3" s="14" t="s">
        <x:v>708</x:v>
      </x:c>
      <x:c r="C3" s="15">
        <x:f>Категории!C2</x:f>
      </x:c>
      <x:c r="D3" s="1">
        <x:f>"предметов: "&amp;Категории!D2</x:f>
      </x:c>
    </x:row>
    <x:row r="4" spans="1:6">
      <x:c r="A4" s="16" t="s">
        <x:v>26</x:v>
      </x:c>
      <x:c r="B4" s="16" t="s">
        <x:v>709</x:v>
      </x:c>
      <x:c r="C4" s="16" t="s">
        <x:v>17</x:v>
      </x:c>
      <x:c r="D4" s="16" t="s">
        <x:v>33</x:v>
      </x:c>
      <x:c r="E4" s="16" t="s">
        <x:v>34</x:v>
      </x:c>
      <x:c r="F4" s="16" t="s">
        <x:v>710</x:v>
      </x:c>
    </x:row>
    <x:row r="5" spans="1:6">
      <x:c r="A5" s="1">
        <x:f>Предметы!B2</x:f>
      </x:c>
      <x:c r="B5" s="1">
        <x:f>Предметы!A2</x:f>
      </x:c>
      <x:c r="C5" s="1">
        <x:f>Предметы!D2</x:f>
      </x:c>
      <x:c r="D5" s="9">
        <x:f>Предметы!J2</x:f>
      </x:c>
      <x:c r="E5" s="10">
        <x:f>Предметы!K2</x:f>
      </x:c>
      <x:c r="F5" s="12">
        <x:f>Предметы!N2</x:f>
      </x:c>
    </x:row>
    <x:row r="6" spans="1:6">
      <x:c r="A6" s="1">
        <x:f>Предметы!B3</x:f>
      </x:c>
      <x:c r="B6" s="1">
        <x:f>Предметы!A3</x:f>
      </x:c>
      <x:c r="C6" s="1">
        <x:f>Предметы!D3</x:f>
      </x:c>
      <x:c r="D6" s="9">
        <x:f>Предметы!J3</x:f>
      </x:c>
      <x:c r="E6" s="10">
        <x:f>Предметы!K3</x:f>
      </x:c>
      <x:c r="F6" s="12">
        <x:f>Предметы!N3</x:f>
      </x:c>
    </x:row>
    <x:row r="7" spans="1:6">
      <x:c r="A7" s="1">
        <x:f>Предметы!B4</x:f>
      </x:c>
      <x:c r="B7" s="1">
        <x:f>Предметы!A4</x:f>
      </x:c>
      <x:c r="C7" s="1">
        <x:f>Предметы!D4</x:f>
      </x:c>
      <x:c r="D7" s="9">
        <x:f>Предметы!J4</x:f>
      </x:c>
      <x:c r="E7" s="10">
        <x:f>Предметы!K4</x:f>
      </x:c>
      <x:c r="F7" s="12">
        <x:f>Предметы!N4</x:f>
      </x:c>
    </x:row>
    <x:row r="8" spans="1:6">
      <x:c r="A8" s="1">
        <x:f>Предметы!B5</x:f>
      </x:c>
      <x:c r="B8" s="1">
        <x:f>Предметы!A5</x:f>
      </x:c>
      <x:c r="C8" s="1">
        <x:f>Предметы!D5</x:f>
      </x:c>
      <x:c r="D8" s="9">
        <x:f>Предметы!J5</x:f>
      </x:c>
      <x:c r="E8" s="10">
        <x:f>Предметы!K5</x:f>
      </x:c>
      <x:c r="F8" s="12">
        <x:f>Предметы!N5</x:f>
      </x:c>
    </x:row>
    <x:row r="9" spans="1:6">
      <x:c r="A9" s="1">
        <x:f>Предметы!B6</x:f>
      </x:c>
      <x:c r="B9" s="1">
        <x:f>Предметы!A6</x:f>
      </x:c>
      <x:c r="C9" s="1">
        <x:f>Предметы!D6</x:f>
      </x:c>
      <x:c r="D9" s="9">
        <x:f>Предметы!J6</x:f>
      </x:c>
      <x:c r="E9" s="10">
        <x:f>Предметы!K6</x:f>
      </x:c>
      <x:c r="F9" s="12">
        <x:f>Предметы!N6</x:f>
      </x:c>
    </x:row>
    <x:row r="10" spans="1:6">
      <x:c r="A10" s="1">
        <x:f>Предметы!B7</x:f>
      </x:c>
      <x:c r="B10" s="1">
        <x:f>Предметы!A7</x:f>
      </x:c>
      <x:c r="C10" s="1">
        <x:f>Предметы!D7</x:f>
      </x:c>
      <x:c r="D10" s="9">
        <x:f>Предметы!J7</x:f>
      </x:c>
      <x:c r="E10" s="10">
        <x:f>Предметы!K7</x:f>
      </x:c>
      <x:c r="F10" s="12">
        <x:f>Предметы!N7</x:f>
      </x:c>
    </x:row>
    <x:row r="11" spans="1:6">
      <x:c r="A11" s="1">
        <x:f>Предметы!B8</x:f>
      </x:c>
      <x:c r="B11" s="1">
        <x:f>Предметы!A8</x:f>
      </x:c>
      <x:c r="C11" s="1">
        <x:f>Предметы!D8</x:f>
      </x:c>
      <x:c r="D11" s="9">
        <x:f>Предметы!J8</x:f>
      </x:c>
      <x:c r="E11" s="10">
        <x:f>Предметы!K8</x:f>
      </x:c>
      <x:c r="F11" s="12">
        <x:f>Предметы!N8</x:f>
      </x:c>
    </x:row>
    <x:row r="12" spans="1:6">
      <x:c r="A12" s="1">
        <x:f>Предметы!B9</x:f>
      </x:c>
      <x:c r="B12" s="1">
        <x:f>Предметы!A9</x:f>
      </x:c>
      <x:c r="C12" s="1">
        <x:f>Предметы!D9</x:f>
      </x:c>
      <x:c r="D12" s="9">
        <x:f>Предметы!J9</x:f>
      </x:c>
      <x:c r="E12" s="10">
        <x:f>Предметы!K9</x:f>
      </x:c>
      <x:c r="F12" s="12">
        <x:f>Предметы!N9</x:f>
      </x:c>
    </x:row>
    <x:row r="13" spans="1:6">
      <x:c r="A13" s="1">
        <x:f>Предметы!B10</x:f>
      </x:c>
      <x:c r="B13" s="1">
        <x:f>Предметы!A10</x:f>
      </x:c>
      <x:c r="C13" s="1">
        <x:f>Предметы!D10</x:f>
      </x:c>
      <x:c r="D13" s="9">
        <x:f>Предметы!J10</x:f>
      </x:c>
      <x:c r="E13" s="10">
        <x:f>Предметы!K10</x:f>
      </x:c>
      <x:c r="F13" s="12">
        <x:f>Предметы!N10</x:f>
      </x:c>
    </x:row>
    <x:row r="14" spans="1:6">
      <x:c r="A14" s="1">
        <x:f>Предметы!B11</x:f>
      </x:c>
      <x:c r="B14" s="1">
        <x:f>Предметы!A11</x:f>
      </x:c>
      <x:c r="C14" s="1">
        <x:f>Предметы!D11</x:f>
      </x:c>
      <x:c r="D14" s="9">
        <x:f>Предметы!J11</x:f>
      </x:c>
      <x:c r="E14" s="10">
        <x:f>Предметы!K11</x:f>
      </x:c>
      <x:c r="F14" s="12">
        <x:f>Предметы!N11</x:f>
      </x:c>
    </x:row>
    <x:row r="15" spans="1:6">
      <x:c r="A15" s="1">
        <x:f>Предметы!B12</x:f>
      </x:c>
      <x:c r="B15" s="1">
        <x:f>Предметы!A12</x:f>
      </x:c>
      <x:c r="C15" s="1">
        <x:f>Предметы!D12</x:f>
      </x:c>
      <x:c r="D15" s="9">
        <x:f>Предметы!J12</x:f>
      </x:c>
      <x:c r="E15" s="10">
        <x:f>Предметы!K12</x:f>
      </x:c>
      <x:c r="F15" s="12">
        <x:f>Предметы!N12</x:f>
      </x:c>
    </x:row>
    <x:row r="16" spans="1:6">
      <x:c r="A16" s="1">
        <x:f>Предметы!B13</x:f>
      </x:c>
      <x:c r="B16" s="1">
        <x:f>Предметы!A13</x:f>
      </x:c>
      <x:c r="C16" s="1">
        <x:f>Предметы!D13</x:f>
      </x:c>
      <x:c r="D16" s="9">
        <x:f>Предметы!J13</x:f>
      </x:c>
      <x:c r="E16" s="10">
        <x:f>Предметы!K13</x:f>
      </x:c>
      <x:c r="F16" s="12">
        <x:f>Предметы!N13</x:f>
      </x:c>
    </x:row>
    <x:row r="17" spans="1:6">
      <x:c r="A17" s="1">
        <x:f>Предметы!B14</x:f>
      </x:c>
      <x:c r="B17" s="1">
        <x:f>Предметы!A14</x:f>
      </x:c>
      <x:c r="C17" s="1">
        <x:f>Предметы!D14</x:f>
      </x:c>
      <x:c r="D17" s="9">
        <x:f>Предметы!J14</x:f>
      </x:c>
      <x:c r="E17" s="10">
        <x:f>Предметы!K14</x:f>
      </x:c>
      <x:c r="F17" s="12">
        <x:f>Предметы!N14</x:f>
      </x:c>
    </x:row>
    <x:row r="18" spans="1:6">
      <x:c r="A18" s="1">
        <x:f>Предметы!B15</x:f>
      </x:c>
      <x:c r="B18" s="1">
        <x:f>Предметы!A15</x:f>
      </x:c>
      <x:c r="C18" s="1">
        <x:f>Предметы!D15</x:f>
      </x:c>
      <x:c r="D18" s="9">
        <x:f>Предметы!J15</x:f>
      </x:c>
      <x:c r="E18" s="10">
        <x:f>Предметы!K15</x:f>
      </x:c>
      <x:c r="F18" s="12">
        <x:f>Предметы!N15</x:f>
      </x:c>
    </x:row>
    <x:row r="19" spans="1:6">
      <x:c r="A19" s="1">
        <x:f>Предметы!B16</x:f>
      </x:c>
      <x:c r="B19" s="1">
        <x:f>Предметы!A16</x:f>
      </x:c>
      <x:c r="C19" s="1">
        <x:f>Предметы!D16</x:f>
      </x:c>
      <x:c r="D19" s="9">
        <x:f>Предметы!J16</x:f>
      </x:c>
      <x:c r="E19" s="10">
        <x:f>Предметы!K16</x:f>
      </x:c>
      <x:c r="F19" s="12">
        <x:f>Предметы!N16</x:f>
      </x:c>
    </x:row>
    <x:row r="20" spans="1:6">
      <x:c r="A20" s="1">
        <x:f>Предметы!B17</x:f>
      </x:c>
      <x:c r="B20" s="1">
        <x:f>Предметы!A17</x:f>
      </x:c>
      <x:c r="C20" s="1">
        <x:f>Предметы!D17</x:f>
      </x:c>
      <x:c r="D20" s="9">
        <x:f>Предметы!J17</x:f>
      </x:c>
      <x:c r="E20" s="10">
        <x:f>Предметы!K17</x:f>
      </x:c>
      <x:c r="F20" s="12">
        <x:f>Предметы!N17</x:f>
      </x:c>
    </x:row>
    <x:row r="21" spans="1:6">
      <x:c r="A21" s="1">
        <x:f>Предметы!B18</x:f>
      </x:c>
      <x:c r="B21" s="1">
        <x:f>Предметы!A18</x:f>
      </x:c>
      <x:c r="C21" s="1">
        <x:f>Предметы!D18</x:f>
      </x:c>
      <x:c r="D21" s="9">
        <x:f>Предметы!J18</x:f>
      </x:c>
      <x:c r="E21" s="10">
        <x:f>Предметы!K18</x:f>
      </x:c>
      <x:c r="F21" s="12">
        <x:f>Предметы!N18</x:f>
      </x:c>
    </x:row>
    <x:row r="22" spans="1:6">
      <x:c r="A22" s="1">
        <x:f>Предметы!B19</x:f>
      </x:c>
      <x:c r="B22" s="1">
        <x:f>Предметы!A19</x:f>
      </x:c>
      <x:c r="C22" s="1">
        <x:f>Предметы!D19</x:f>
      </x:c>
      <x:c r="D22" s="9">
        <x:f>Предметы!J19</x:f>
      </x:c>
      <x:c r="E22" s="10">
        <x:f>Предметы!K19</x:f>
      </x:c>
      <x:c r="F22" s="12">
        <x:f>Предметы!N19</x:f>
      </x:c>
    </x:row>
    <x:row r="23" spans="1:6">
      <x:c r="A23" s="1">
        <x:f>Предметы!B20</x:f>
      </x:c>
      <x:c r="B23" s="1">
        <x:f>Предметы!A20</x:f>
      </x:c>
      <x:c r="C23" s="1">
        <x:f>Предметы!D20</x:f>
      </x:c>
      <x:c r="D23" s="9">
        <x:f>Предметы!J20</x:f>
      </x:c>
      <x:c r="E23" s="10">
        <x:f>Предметы!K20</x:f>
      </x:c>
      <x:c r="F23" s="12">
        <x:f>Предметы!N20</x:f>
      </x:c>
    </x:row>
    <x:row r="26" spans="1:6">
      <x:c r="A26" s="2" t="s">
        <x:v>102</x:v>
      </x:c>
      <x:c r="B26" s="14" t="s">
        <x:v>708</x:v>
      </x:c>
      <x:c r="C26" s="15">
        <x:f>Категории!C3</x:f>
      </x:c>
      <x:c r="D26" s="1">
        <x:f>"предметов: "&amp;Категории!D3</x:f>
      </x:c>
    </x:row>
    <x:row r="27" spans="1:6">
      <x:c r="A27" s="16" t="s">
        <x:v>26</x:v>
      </x:c>
      <x:c r="B27" s="16" t="s">
        <x:v>709</x:v>
      </x:c>
      <x:c r="C27" s="16" t="s">
        <x:v>17</x:v>
      </x:c>
      <x:c r="D27" s="16" t="s">
        <x:v>33</x:v>
      </x:c>
      <x:c r="E27" s="16" t="s">
        <x:v>34</x:v>
      </x:c>
      <x:c r="F27" s="16" t="s">
        <x:v>710</x:v>
      </x:c>
    </x:row>
    <x:row r="28" spans="1:6">
      <x:c r="A28" s="1">
        <x:f>Предметы!B21</x:f>
      </x:c>
      <x:c r="B28" s="1">
        <x:f>Предметы!A21</x:f>
      </x:c>
      <x:c r="C28" s="1">
        <x:f>Предметы!D21</x:f>
      </x:c>
      <x:c r="D28" s="9">
        <x:f>Предметы!J21</x:f>
      </x:c>
      <x:c r="E28" s="10">
        <x:f>Предметы!K21</x:f>
      </x:c>
      <x:c r="F28" s="12">
        <x:f>Предметы!N21</x:f>
      </x:c>
    </x:row>
    <x:row r="29" spans="1:6">
      <x:c r="A29" s="1">
        <x:f>Предметы!B22</x:f>
      </x:c>
      <x:c r="B29" s="1">
        <x:f>Предметы!A22</x:f>
      </x:c>
      <x:c r="C29" s="1">
        <x:f>Предметы!D22</x:f>
      </x:c>
      <x:c r="D29" s="9">
        <x:f>Предметы!J22</x:f>
      </x:c>
      <x:c r="E29" s="10">
        <x:f>Предметы!K22</x:f>
      </x:c>
      <x:c r="F29" s="12">
        <x:f>Предметы!N22</x:f>
      </x:c>
    </x:row>
    <x:row r="30" spans="1:6">
      <x:c r="A30" s="1">
        <x:f>Предметы!B23</x:f>
      </x:c>
      <x:c r="B30" s="1">
        <x:f>Предметы!A23</x:f>
      </x:c>
      <x:c r="C30" s="1">
        <x:f>Предметы!D23</x:f>
      </x:c>
      <x:c r="D30" s="9">
        <x:f>Предметы!J23</x:f>
      </x:c>
      <x:c r="E30" s="10">
        <x:f>Предметы!K23</x:f>
      </x:c>
      <x:c r="F30" s="12">
        <x:f>Предметы!N23</x:f>
      </x:c>
    </x:row>
    <x:row r="31" spans="1:6">
      <x:c r="A31" s="1">
        <x:f>Предметы!B24</x:f>
      </x:c>
      <x:c r="B31" s="1">
        <x:f>Предметы!A24</x:f>
      </x:c>
      <x:c r="C31" s="1">
        <x:f>Предметы!D24</x:f>
      </x:c>
      <x:c r="D31" s="9">
        <x:f>Предметы!J24</x:f>
      </x:c>
      <x:c r="E31" s="10">
        <x:f>Предметы!K24</x:f>
      </x:c>
      <x:c r="F31" s="12">
        <x:f>Предметы!N24</x:f>
      </x:c>
    </x:row>
    <x:row r="32" spans="1:6">
      <x:c r="A32" s="1">
        <x:f>Предметы!B25</x:f>
      </x:c>
      <x:c r="B32" s="1">
        <x:f>Предметы!A25</x:f>
      </x:c>
      <x:c r="C32" s="1">
        <x:f>Предметы!D25</x:f>
      </x:c>
      <x:c r="D32" s="9">
        <x:f>Предметы!J25</x:f>
      </x:c>
      <x:c r="E32" s="10">
        <x:f>Предметы!K25</x:f>
      </x:c>
      <x:c r="F32" s="12">
        <x:f>Предметы!N25</x:f>
      </x:c>
    </x:row>
    <x:row r="33" spans="1:6">
      <x:c r="A33" s="1">
        <x:f>Предметы!B26</x:f>
      </x:c>
      <x:c r="B33" s="1">
        <x:f>Предметы!A26</x:f>
      </x:c>
      <x:c r="C33" s="1">
        <x:f>Предметы!D26</x:f>
      </x:c>
      <x:c r="D33" s="9">
        <x:f>Предметы!J26</x:f>
      </x:c>
      <x:c r="E33" s="10">
        <x:f>Предметы!K26</x:f>
      </x:c>
      <x:c r="F33" s="12">
        <x:f>Предметы!N26</x:f>
      </x:c>
    </x:row>
    <x:row r="34" spans="1:6">
      <x:c r="A34" s="1">
        <x:f>Предметы!B27</x:f>
      </x:c>
      <x:c r="B34" s="1">
        <x:f>Предметы!A27</x:f>
      </x:c>
      <x:c r="C34" s="1">
        <x:f>Предметы!D27</x:f>
      </x:c>
      <x:c r="D34" s="9">
        <x:f>Предметы!J27</x:f>
      </x:c>
      <x:c r="E34" s="10">
        <x:f>Предметы!K27</x:f>
      </x:c>
      <x:c r="F34" s="12">
        <x:f>Предметы!N27</x:f>
      </x:c>
    </x:row>
    <x:row r="35" spans="1:6">
      <x:c r="A35" s="1">
        <x:f>Предметы!B28</x:f>
      </x:c>
      <x:c r="B35" s="1">
        <x:f>Предметы!A28</x:f>
      </x:c>
      <x:c r="C35" s="1">
        <x:f>Предметы!D28</x:f>
      </x:c>
      <x:c r="D35" s="9">
        <x:f>Предметы!J28</x:f>
      </x:c>
      <x:c r="E35" s="10">
        <x:f>Предметы!K28</x:f>
      </x:c>
      <x:c r="F35" s="12">
        <x:f>Предметы!N28</x:f>
      </x:c>
    </x:row>
    <x:row r="36" spans="1:6">
      <x:c r="A36" s="1">
        <x:f>Предметы!B29</x:f>
      </x:c>
      <x:c r="B36" s="1">
        <x:f>Предметы!A29</x:f>
      </x:c>
      <x:c r="C36" s="1">
        <x:f>Предметы!D29</x:f>
      </x:c>
      <x:c r="D36" s="9">
        <x:f>Предметы!J29</x:f>
      </x:c>
      <x:c r="E36" s="10">
        <x:f>Предметы!K29</x:f>
      </x:c>
      <x:c r="F36" s="12">
        <x:f>Предметы!N29</x:f>
      </x:c>
    </x:row>
    <x:row r="39" spans="1:6">
      <x:c r="A39" s="2" t="s">
        <x:v>130</x:v>
      </x:c>
      <x:c r="B39" s="14" t="s">
        <x:v>708</x:v>
      </x:c>
      <x:c r="C39" s="15">
        <x:f>Категории!C4</x:f>
      </x:c>
      <x:c r="D39" s="1">
        <x:f>"предметов: "&amp;Категории!D4</x:f>
      </x:c>
    </x:row>
    <x:row r="40" spans="1:6">
      <x:c r="A40" s="16" t="s">
        <x:v>26</x:v>
      </x:c>
      <x:c r="B40" s="16" t="s">
        <x:v>709</x:v>
      </x:c>
      <x:c r="C40" s="16" t="s">
        <x:v>17</x:v>
      </x:c>
      <x:c r="D40" s="16" t="s">
        <x:v>33</x:v>
      </x:c>
      <x:c r="E40" s="16" t="s">
        <x:v>34</x:v>
      </x:c>
      <x:c r="F40" s="16" t="s">
        <x:v>710</x:v>
      </x:c>
    </x:row>
    <x:row r="41" spans="1:6">
      <x:c r="A41" s="1">
        <x:f>Предметы!B30</x:f>
      </x:c>
      <x:c r="B41" s="1">
        <x:f>Предметы!A30</x:f>
      </x:c>
      <x:c r="C41" s="1">
        <x:f>Предметы!D30</x:f>
      </x:c>
      <x:c r="D41" s="9">
        <x:f>Предметы!J30</x:f>
      </x:c>
      <x:c r="E41" s="10">
        <x:f>Предметы!K30</x:f>
      </x:c>
      <x:c r="F41" s="12">
        <x:f>Предметы!N30</x:f>
      </x:c>
    </x:row>
    <x:row r="42" spans="1:6">
      <x:c r="A42" s="1">
        <x:f>Предметы!B31</x:f>
      </x:c>
      <x:c r="B42" s="1">
        <x:f>Предметы!A31</x:f>
      </x:c>
      <x:c r="C42" s="1">
        <x:f>Предметы!D31</x:f>
      </x:c>
      <x:c r="D42" s="9">
        <x:f>Предметы!J31</x:f>
      </x:c>
      <x:c r="E42" s="10">
        <x:f>Предметы!K31</x:f>
      </x:c>
      <x:c r="F42" s="12">
        <x:f>Предметы!N31</x:f>
      </x:c>
    </x:row>
    <x:row r="43" spans="1:6">
      <x:c r="A43" s="1">
        <x:f>Предметы!B32</x:f>
      </x:c>
      <x:c r="B43" s="1">
        <x:f>Предметы!A32</x:f>
      </x:c>
      <x:c r="C43" s="1">
        <x:f>Предметы!D32</x:f>
      </x:c>
      <x:c r="D43" s="9">
        <x:f>Предметы!J32</x:f>
      </x:c>
      <x:c r="E43" s="10">
        <x:f>Предметы!K32</x:f>
      </x:c>
      <x:c r="F43" s="12">
        <x:f>Предметы!N32</x:f>
      </x:c>
    </x:row>
    <x:row r="44" spans="1:6">
      <x:c r="A44" s="1">
        <x:f>Предметы!B33</x:f>
      </x:c>
      <x:c r="B44" s="1">
        <x:f>Предметы!A33</x:f>
      </x:c>
      <x:c r="C44" s="1">
        <x:f>Предметы!D33</x:f>
      </x:c>
      <x:c r="D44" s="9">
        <x:f>Предметы!J33</x:f>
      </x:c>
      <x:c r="E44" s="10">
        <x:f>Предметы!K33</x:f>
      </x:c>
      <x:c r="F44" s="12">
        <x:f>Предметы!N33</x:f>
      </x:c>
    </x:row>
    <x:row r="45" spans="1:6">
      <x:c r="A45" s="1">
        <x:f>Предметы!B34</x:f>
      </x:c>
      <x:c r="B45" s="1">
        <x:f>Предметы!A34</x:f>
      </x:c>
      <x:c r="C45" s="1">
        <x:f>Предметы!D34</x:f>
      </x:c>
      <x:c r="D45" s="9">
        <x:f>Предметы!J34</x:f>
      </x:c>
      <x:c r="E45" s="10">
        <x:f>Предметы!K34</x:f>
      </x:c>
      <x:c r="F45" s="12">
        <x:f>Предметы!N34</x:f>
      </x:c>
    </x:row>
    <x:row r="46" spans="1:6">
      <x:c r="A46" s="1">
        <x:f>Предметы!B35</x:f>
      </x:c>
      <x:c r="B46" s="1">
        <x:f>Предметы!A35</x:f>
      </x:c>
      <x:c r="C46" s="1">
        <x:f>Предметы!D35</x:f>
      </x:c>
      <x:c r="D46" s="9">
        <x:f>Предметы!J35</x:f>
      </x:c>
      <x:c r="E46" s="10">
        <x:f>Предметы!K35</x:f>
      </x:c>
      <x:c r="F46" s="12">
        <x:f>Предметы!N35</x:f>
      </x:c>
    </x:row>
    <x:row r="47" spans="1:6">
      <x:c r="A47" s="1">
        <x:f>Предметы!B36</x:f>
      </x:c>
      <x:c r="B47" s="1">
        <x:f>Предметы!A36</x:f>
      </x:c>
      <x:c r="C47" s="1">
        <x:f>Предметы!D36</x:f>
      </x:c>
      <x:c r="D47" s="9">
        <x:f>Предметы!J36</x:f>
      </x:c>
      <x:c r="E47" s="10">
        <x:f>Предметы!K36</x:f>
      </x:c>
      <x:c r="F47" s="12">
        <x:f>Предметы!N36</x:f>
      </x:c>
    </x:row>
    <x:row r="48" spans="1:6">
      <x:c r="A48" s="1">
        <x:f>Предметы!B37</x:f>
      </x:c>
      <x:c r="B48" s="1">
        <x:f>Предметы!A37</x:f>
      </x:c>
      <x:c r="C48" s="1">
        <x:f>Предметы!D37</x:f>
      </x:c>
      <x:c r="D48" s="9">
        <x:f>Предметы!J37</x:f>
      </x:c>
      <x:c r="E48" s="10">
        <x:f>Предметы!K37</x:f>
      </x:c>
      <x:c r="F48" s="12">
        <x:f>Предметы!N37</x:f>
      </x:c>
    </x:row>
    <x:row r="49" spans="1:6">
      <x:c r="A49" s="1">
        <x:f>Предметы!B38</x:f>
      </x:c>
      <x:c r="B49" s="1">
        <x:f>Предметы!A38</x:f>
      </x:c>
      <x:c r="C49" s="1">
        <x:f>Предметы!D38</x:f>
      </x:c>
      <x:c r="D49" s="9">
        <x:f>Предметы!J38</x:f>
      </x:c>
      <x:c r="E49" s="10">
        <x:f>Предметы!K38</x:f>
      </x:c>
      <x:c r="F49" s="12">
        <x:f>Предметы!N38</x:f>
      </x:c>
    </x:row>
    <x:row r="50" spans="1:6">
      <x:c r="A50" s="1">
        <x:f>Предметы!B39</x:f>
      </x:c>
      <x:c r="B50" s="1">
        <x:f>Предметы!A39</x:f>
      </x:c>
      <x:c r="C50" s="1">
        <x:f>Предметы!D39</x:f>
      </x:c>
      <x:c r="D50" s="9">
        <x:f>Предметы!J39</x:f>
      </x:c>
      <x:c r="E50" s="10">
        <x:f>Предметы!K39</x:f>
      </x:c>
      <x:c r="F50" s="12">
        <x:f>Предметы!N39</x:f>
      </x:c>
    </x:row>
    <x:row r="51" spans="1:6">
      <x:c r="A51" s="1">
        <x:f>Предметы!B40</x:f>
      </x:c>
      <x:c r="B51" s="1">
        <x:f>Предметы!A40</x:f>
      </x:c>
      <x:c r="C51" s="1">
        <x:f>Предметы!D40</x:f>
      </x:c>
      <x:c r="D51" s="9">
        <x:f>Предметы!J40</x:f>
      </x:c>
      <x:c r="E51" s="10">
        <x:f>Предметы!K40</x:f>
      </x:c>
      <x:c r="F51" s="12">
        <x:f>Предметы!N40</x:f>
      </x:c>
    </x:row>
    <x:row r="54" spans="1:6">
      <x:c r="A54" s="2" t="s">
        <x:v>164</x:v>
      </x:c>
      <x:c r="B54" s="14" t="s">
        <x:v>708</x:v>
      </x:c>
      <x:c r="C54" s="15">
        <x:f>Категории!C5</x:f>
      </x:c>
      <x:c r="D54" s="1">
        <x:f>"предметов: "&amp;Категории!D5</x:f>
      </x:c>
    </x:row>
    <x:row r="55" spans="1:6">
      <x:c r="A55" s="16" t="s">
        <x:v>26</x:v>
      </x:c>
      <x:c r="B55" s="16" t="s">
        <x:v>709</x:v>
      </x:c>
      <x:c r="C55" s="16" t="s">
        <x:v>17</x:v>
      </x:c>
      <x:c r="D55" s="16" t="s">
        <x:v>33</x:v>
      </x:c>
      <x:c r="E55" s="16" t="s">
        <x:v>34</x:v>
      </x:c>
      <x:c r="F55" s="16" t="s">
        <x:v>710</x:v>
      </x:c>
    </x:row>
    <x:row r="56" spans="1:6">
      <x:c r="A56" s="1">
        <x:f>Предметы!B41</x:f>
      </x:c>
      <x:c r="B56" s="1">
        <x:f>Предметы!A41</x:f>
      </x:c>
      <x:c r="C56" s="1">
        <x:f>Предметы!D41</x:f>
      </x:c>
      <x:c r="D56" s="9">
        <x:f>Предметы!J41</x:f>
      </x:c>
      <x:c r="E56" s="10">
        <x:f>Предметы!K41</x:f>
      </x:c>
      <x:c r="F56" s="12">
        <x:f>Предметы!N41</x:f>
      </x:c>
    </x:row>
    <x:row r="57" spans="1:6">
      <x:c r="A57" s="1">
        <x:f>Предметы!B42</x:f>
      </x:c>
      <x:c r="B57" s="1">
        <x:f>Предметы!A42</x:f>
      </x:c>
      <x:c r="C57" s="1">
        <x:f>Предметы!D42</x:f>
      </x:c>
      <x:c r="D57" s="9">
        <x:f>Предметы!J42</x:f>
      </x:c>
      <x:c r="E57" s="10">
        <x:f>Предметы!K42</x:f>
      </x:c>
      <x:c r="F57" s="12">
        <x:f>Предметы!N42</x:f>
      </x:c>
    </x:row>
    <x:row r="58" spans="1:6">
      <x:c r="A58" s="1">
        <x:f>Предметы!B43</x:f>
      </x:c>
      <x:c r="B58" s="1">
        <x:f>Предметы!A43</x:f>
      </x:c>
      <x:c r="C58" s="1">
        <x:f>Предметы!D43</x:f>
      </x:c>
      <x:c r="D58" s="9">
        <x:f>Предметы!J43</x:f>
      </x:c>
      <x:c r="E58" s="10">
        <x:f>Предметы!K43</x:f>
      </x:c>
      <x:c r="F58" s="12">
        <x:f>Предметы!N43</x:f>
      </x:c>
    </x:row>
    <x:row r="59" spans="1:6">
      <x:c r="A59" s="1">
        <x:f>Предметы!B44</x:f>
      </x:c>
      <x:c r="B59" s="1">
        <x:f>Предметы!A44</x:f>
      </x:c>
      <x:c r="C59" s="1">
        <x:f>Предметы!D44</x:f>
      </x:c>
      <x:c r="D59" s="9">
        <x:f>Предметы!J44</x:f>
      </x:c>
      <x:c r="E59" s="10">
        <x:f>Предметы!K44</x:f>
      </x:c>
      <x:c r="F59" s="12">
        <x:f>Предметы!N44</x:f>
      </x:c>
    </x:row>
    <x:row r="60" spans="1:6">
      <x:c r="A60" s="1">
        <x:f>Предметы!B45</x:f>
      </x:c>
      <x:c r="B60" s="1">
        <x:f>Предметы!A45</x:f>
      </x:c>
      <x:c r="C60" s="1">
        <x:f>Предметы!D45</x:f>
      </x:c>
      <x:c r="D60" s="9">
        <x:f>Предметы!J45</x:f>
      </x:c>
      <x:c r="E60" s="10">
        <x:f>Предметы!K45</x:f>
      </x:c>
      <x:c r="F60" s="12">
        <x:f>Предметы!N45</x:f>
      </x:c>
    </x:row>
    <x:row r="61" spans="1:6">
      <x:c r="A61" s="1">
        <x:f>Предметы!B46</x:f>
      </x:c>
      <x:c r="B61" s="1">
        <x:f>Предметы!A46</x:f>
      </x:c>
      <x:c r="C61" s="1">
        <x:f>Предметы!D46</x:f>
      </x:c>
      <x:c r="D61" s="9">
        <x:f>Предметы!J46</x:f>
      </x:c>
      <x:c r="E61" s="10">
        <x:f>Предметы!K46</x:f>
      </x:c>
      <x:c r="F61" s="12">
        <x:f>Предметы!N46</x:f>
      </x:c>
    </x:row>
    <x:row r="62" spans="1:6">
      <x:c r="A62" s="1">
        <x:f>Предметы!B47</x:f>
      </x:c>
      <x:c r="B62" s="1">
        <x:f>Предметы!A47</x:f>
      </x:c>
      <x:c r="C62" s="1">
        <x:f>Предметы!D47</x:f>
      </x:c>
      <x:c r="D62" s="9">
        <x:f>Предметы!J47</x:f>
      </x:c>
      <x:c r="E62" s="10">
        <x:f>Предметы!K47</x:f>
      </x:c>
      <x:c r="F62" s="12">
        <x:f>Предметы!N47</x:f>
      </x:c>
    </x:row>
    <x:row r="63" spans="1:6">
      <x:c r="A63" s="1">
        <x:f>Предметы!B48</x:f>
      </x:c>
      <x:c r="B63" s="1">
        <x:f>Предметы!A48</x:f>
      </x:c>
      <x:c r="C63" s="1">
        <x:f>Предметы!D48</x:f>
      </x:c>
      <x:c r="D63" s="9">
        <x:f>Предметы!J48</x:f>
      </x:c>
      <x:c r="E63" s="10">
        <x:f>Предметы!K48</x:f>
      </x:c>
      <x:c r="F63" s="12">
        <x:f>Предметы!N48</x:f>
      </x:c>
    </x:row>
    <x:row r="64" spans="1:6">
      <x:c r="A64" s="1">
        <x:f>Предметы!B49</x:f>
      </x:c>
      <x:c r="B64" s="1">
        <x:f>Предметы!A49</x:f>
      </x:c>
      <x:c r="C64" s="1">
        <x:f>Предметы!D49</x:f>
      </x:c>
      <x:c r="D64" s="9">
        <x:f>Предметы!J49</x:f>
      </x:c>
      <x:c r="E64" s="10">
        <x:f>Предметы!K49</x:f>
      </x:c>
      <x:c r="F64" s="12">
        <x:f>Предметы!N49</x:f>
      </x:c>
    </x:row>
    <x:row r="65" spans="1:6">
      <x:c r="A65" s="1">
        <x:f>Предметы!B50</x:f>
      </x:c>
      <x:c r="B65" s="1">
        <x:f>Предметы!A50</x:f>
      </x:c>
      <x:c r="C65" s="1">
        <x:f>Предметы!D50</x:f>
      </x:c>
      <x:c r="D65" s="9">
        <x:f>Предметы!J50</x:f>
      </x:c>
      <x:c r="E65" s="10">
        <x:f>Предметы!K50</x:f>
      </x:c>
      <x:c r="F65" s="12">
        <x:f>Предметы!N50</x:f>
      </x:c>
    </x:row>
    <x:row r="66" spans="1:6">
      <x:c r="A66" s="1">
        <x:f>Предметы!B51</x:f>
      </x:c>
      <x:c r="B66" s="1">
        <x:f>Предметы!A51</x:f>
      </x:c>
      <x:c r="C66" s="1">
        <x:f>Предметы!D51</x:f>
      </x:c>
      <x:c r="D66" s="9">
        <x:f>Предметы!J51</x:f>
      </x:c>
      <x:c r="E66" s="10">
        <x:f>Предметы!K51</x:f>
      </x:c>
      <x:c r="F66" s="12">
        <x:f>Предметы!N51</x:f>
      </x:c>
    </x:row>
    <x:row r="67" spans="1:6">
      <x:c r="A67" s="1">
        <x:f>Предметы!B52</x:f>
      </x:c>
      <x:c r="B67" s="1">
        <x:f>Предметы!A52</x:f>
      </x:c>
      <x:c r="C67" s="1">
        <x:f>Предметы!D52</x:f>
      </x:c>
      <x:c r="D67" s="9">
        <x:f>Предметы!J52</x:f>
      </x:c>
      <x:c r="E67" s="10">
        <x:f>Предметы!K52</x:f>
      </x:c>
      <x:c r="F67" s="12">
        <x:f>Предметы!N52</x:f>
      </x:c>
    </x:row>
    <x:row r="68" spans="1:6">
      <x:c r="A68" s="1">
        <x:f>Предметы!B53</x:f>
      </x:c>
      <x:c r="B68" s="1">
        <x:f>Предметы!A53</x:f>
      </x:c>
      <x:c r="C68" s="1">
        <x:f>Предметы!D53</x:f>
      </x:c>
      <x:c r="D68" s="9">
        <x:f>Предметы!J53</x:f>
      </x:c>
      <x:c r="E68" s="10">
        <x:f>Предметы!K53</x:f>
      </x:c>
      <x:c r="F68" s="12">
        <x:f>Предметы!N53</x:f>
      </x:c>
    </x:row>
    <x:row r="69" spans="1:6">
      <x:c r="A69" s="1">
        <x:f>Предметы!B54</x:f>
      </x:c>
      <x:c r="B69" s="1">
        <x:f>Предметы!A54</x:f>
      </x:c>
      <x:c r="C69" s="1">
        <x:f>Предметы!D54</x:f>
      </x:c>
      <x:c r="D69" s="9">
        <x:f>Предметы!J54</x:f>
      </x:c>
      <x:c r="E69" s="10">
        <x:f>Предметы!K54</x:f>
      </x:c>
      <x:c r="F69" s="12">
        <x:f>Предметы!N54</x:f>
      </x:c>
    </x:row>
    <x:row r="70" spans="1:6">
      <x:c r="A70" s="1">
        <x:f>Предметы!B55</x:f>
      </x:c>
      <x:c r="B70" s="1">
        <x:f>Предметы!A55</x:f>
      </x:c>
      <x:c r="C70" s="1">
        <x:f>Предметы!D55</x:f>
      </x:c>
      <x:c r="D70" s="9">
        <x:f>Предметы!J55</x:f>
      </x:c>
      <x:c r="E70" s="10">
        <x:f>Предметы!K55</x:f>
      </x:c>
      <x:c r="F70" s="12">
        <x:f>Предметы!N55</x:f>
      </x:c>
    </x:row>
    <x:row r="73" spans="1:6">
      <x:c r="A73" s="2" t="s">
        <x:v>210</x:v>
      </x:c>
      <x:c r="B73" s="14" t="s">
        <x:v>708</x:v>
      </x:c>
      <x:c r="C73" s="15">
        <x:f>Категории!C6</x:f>
      </x:c>
      <x:c r="D73" s="1">
        <x:f>"предметов: "&amp;Категории!D6</x:f>
      </x:c>
    </x:row>
    <x:row r="74" spans="1:6">
      <x:c r="A74" s="16" t="s">
        <x:v>26</x:v>
      </x:c>
      <x:c r="B74" s="16" t="s">
        <x:v>709</x:v>
      </x:c>
      <x:c r="C74" s="16" t="s">
        <x:v>17</x:v>
      </x:c>
      <x:c r="D74" s="16" t="s">
        <x:v>33</x:v>
      </x:c>
      <x:c r="E74" s="16" t="s">
        <x:v>34</x:v>
      </x:c>
      <x:c r="F74" s="16" t="s">
        <x:v>710</x:v>
      </x:c>
    </x:row>
    <x:row r="75" spans="1:6">
      <x:c r="A75" s="1">
        <x:f>Предметы!B56</x:f>
      </x:c>
      <x:c r="B75" s="1">
        <x:f>Предметы!A56</x:f>
      </x:c>
      <x:c r="C75" s="1">
        <x:f>Предметы!D56</x:f>
      </x:c>
      <x:c r="D75" s="9">
        <x:f>Предметы!J56</x:f>
      </x:c>
      <x:c r="E75" s="10">
        <x:f>Предметы!K56</x:f>
      </x:c>
      <x:c r="F75" s="12">
        <x:f>Предметы!N56</x:f>
      </x:c>
    </x:row>
    <x:row r="76" spans="1:6">
      <x:c r="A76" s="1">
        <x:f>Предметы!B57</x:f>
      </x:c>
      <x:c r="B76" s="1">
        <x:f>Предметы!A57</x:f>
      </x:c>
      <x:c r="C76" s="1">
        <x:f>Предметы!D57</x:f>
      </x:c>
      <x:c r="D76" s="9">
        <x:f>Предметы!J57</x:f>
      </x:c>
      <x:c r="E76" s="10">
        <x:f>Предметы!K57</x:f>
      </x:c>
      <x:c r="F76" s="12">
        <x:f>Предметы!N57</x:f>
      </x:c>
    </x:row>
    <x:row r="77" spans="1:6">
      <x:c r="A77" s="1">
        <x:f>Предметы!B58</x:f>
      </x:c>
      <x:c r="B77" s="1">
        <x:f>Предметы!A58</x:f>
      </x:c>
      <x:c r="C77" s="1">
        <x:f>Предметы!D58</x:f>
      </x:c>
      <x:c r="D77" s="9">
        <x:f>Предметы!J58</x:f>
      </x:c>
      <x:c r="E77" s="10">
        <x:f>Предметы!K58</x:f>
      </x:c>
      <x:c r="F77" s="12">
        <x:f>Предметы!N58</x:f>
      </x:c>
    </x:row>
    <x:row r="78" spans="1:6">
      <x:c r="A78" s="1">
        <x:f>Предметы!B59</x:f>
      </x:c>
      <x:c r="B78" s="1">
        <x:f>Предметы!A59</x:f>
      </x:c>
      <x:c r="C78" s="1">
        <x:f>Предметы!D59</x:f>
      </x:c>
      <x:c r="D78" s="9">
        <x:f>Предметы!J59</x:f>
      </x:c>
      <x:c r="E78" s="10">
        <x:f>Предметы!K59</x:f>
      </x:c>
      <x:c r="F78" s="12">
        <x:f>Предметы!N59</x:f>
      </x:c>
    </x:row>
    <x:row r="79" spans="1:6">
      <x:c r="A79" s="1">
        <x:f>Предметы!B60</x:f>
      </x:c>
      <x:c r="B79" s="1">
        <x:f>Предметы!A60</x:f>
      </x:c>
      <x:c r="C79" s="1">
        <x:f>Предметы!D60</x:f>
      </x:c>
      <x:c r="D79" s="9">
        <x:f>Предметы!J60</x:f>
      </x:c>
      <x:c r="E79" s="10">
        <x:f>Предметы!K60</x:f>
      </x:c>
      <x:c r="F79" s="12">
        <x:f>Предметы!N60</x:f>
      </x:c>
    </x:row>
    <x:row r="80" spans="1:6">
      <x:c r="A80" s="1">
        <x:f>Предметы!B61</x:f>
      </x:c>
      <x:c r="B80" s="1">
        <x:f>Предметы!A61</x:f>
      </x:c>
      <x:c r="C80" s="1">
        <x:f>Предметы!D61</x:f>
      </x:c>
      <x:c r="D80" s="9">
        <x:f>Предметы!J61</x:f>
      </x:c>
      <x:c r="E80" s="10">
        <x:f>Предметы!K61</x:f>
      </x:c>
      <x:c r="F80" s="12">
        <x:f>Предметы!N61</x:f>
      </x:c>
    </x:row>
    <x:row r="81" spans="1:6">
      <x:c r="A81" s="1">
        <x:f>Предметы!B62</x:f>
      </x:c>
      <x:c r="B81" s="1">
        <x:f>Предметы!A62</x:f>
      </x:c>
      <x:c r="C81" s="1">
        <x:f>Предметы!D62</x:f>
      </x:c>
      <x:c r="D81" s="9">
        <x:f>Предметы!J62</x:f>
      </x:c>
      <x:c r="E81" s="10">
        <x:f>Предметы!K62</x:f>
      </x:c>
      <x:c r="F81" s="12">
        <x:f>Предметы!N62</x:f>
      </x:c>
    </x:row>
    <x:row r="82" spans="1:6">
      <x:c r="A82" s="1">
        <x:f>Предметы!B63</x:f>
      </x:c>
      <x:c r="B82" s="1">
        <x:f>Предметы!A63</x:f>
      </x:c>
      <x:c r="C82" s="1">
        <x:f>Предметы!D63</x:f>
      </x:c>
      <x:c r="D82" s="9">
        <x:f>Предметы!J63</x:f>
      </x:c>
      <x:c r="E82" s="10">
        <x:f>Предметы!K63</x:f>
      </x:c>
      <x:c r="F82" s="12">
        <x:f>Предметы!N63</x:f>
      </x:c>
    </x:row>
    <x:row r="83" spans="1:6">
      <x:c r="A83" s="1">
        <x:f>Предметы!B64</x:f>
      </x:c>
      <x:c r="B83" s="1">
        <x:f>Предметы!A64</x:f>
      </x:c>
      <x:c r="C83" s="1">
        <x:f>Предметы!D64</x:f>
      </x:c>
      <x:c r="D83" s="9">
        <x:f>Предметы!J64</x:f>
      </x:c>
      <x:c r="E83" s="10">
        <x:f>Предметы!K64</x:f>
      </x:c>
      <x:c r="F83" s="12">
        <x:f>Предметы!N64</x:f>
      </x:c>
    </x:row>
    <x:row r="84" spans="1:6">
      <x:c r="A84" s="1">
        <x:f>Предметы!B65</x:f>
      </x:c>
      <x:c r="B84" s="1">
        <x:f>Предметы!A65</x:f>
      </x:c>
      <x:c r="C84" s="1">
        <x:f>Предметы!D65</x:f>
      </x:c>
      <x:c r="D84" s="9">
        <x:f>Предметы!J65</x:f>
      </x:c>
      <x:c r="E84" s="10">
        <x:f>Предметы!K65</x:f>
      </x:c>
      <x:c r="F84" s="12">
        <x:f>Предметы!N65</x:f>
      </x:c>
    </x:row>
    <x:row r="85" spans="1:6">
      <x:c r="A85" s="1">
        <x:f>Предметы!B66</x:f>
      </x:c>
      <x:c r="B85" s="1">
        <x:f>Предметы!A66</x:f>
      </x:c>
      <x:c r="C85" s="1">
        <x:f>Предметы!D66</x:f>
      </x:c>
      <x:c r="D85" s="9">
        <x:f>Предметы!J66</x:f>
      </x:c>
      <x:c r="E85" s="10">
        <x:f>Предметы!K66</x:f>
      </x:c>
      <x:c r="F85" s="12">
        <x:f>Предметы!N66</x:f>
      </x:c>
    </x:row>
    <x:row r="86" spans="1:6">
      <x:c r="A86" s="1">
        <x:f>Предметы!B67</x:f>
      </x:c>
      <x:c r="B86" s="1">
        <x:f>Предметы!A67</x:f>
      </x:c>
      <x:c r="C86" s="1">
        <x:f>Предметы!D67</x:f>
      </x:c>
      <x:c r="D86" s="9">
        <x:f>Предметы!J67</x:f>
      </x:c>
      <x:c r="E86" s="10">
        <x:f>Предметы!K67</x:f>
      </x:c>
      <x:c r="F86" s="12">
        <x:f>Предметы!N67</x:f>
      </x:c>
    </x:row>
    <x:row r="87" spans="1:6">
      <x:c r="A87" s="1">
        <x:f>Предметы!B68</x:f>
      </x:c>
      <x:c r="B87" s="1">
        <x:f>Предметы!A68</x:f>
      </x:c>
      <x:c r="C87" s="1">
        <x:f>Предметы!D68</x:f>
      </x:c>
      <x:c r="D87" s="9">
        <x:f>Предметы!J68</x:f>
      </x:c>
      <x:c r="E87" s="10">
        <x:f>Предметы!K68</x:f>
      </x:c>
      <x:c r="F87" s="12">
        <x:f>Предметы!N68</x:f>
      </x:c>
    </x:row>
    <x:row r="88" spans="1:6">
      <x:c r="A88" s="1">
        <x:f>Предметы!B69</x:f>
      </x:c>
      <x:c r="B88" s="1">
        <x:f>Предметы!A69</x:f>
      </x:c>
      <x:c r="C88" s="1">
        <x:f>Предметы!D69</x:f>
      </x:c>
      <x:c r="D88" s="9">
        <x:f>Предметы!J69</x:f>
      </x:c>
      <x:c r="E88" s="10">
        <x:f>Предметы!K69</x:f>
      </x:c>
      <x:c r="F88" s="12">
        <x:f>Предметы!N69</x:f>
      </x:c>
    </x:row>
    <x:row r="89" spans="1:6">
      <x:c r="A89" s="1">
        <x:f>Предметы!B70</x:f>
      </x:c>
      <x:c r="B89" s="1">
        <x:f>Предметы!A70</x:f>
      </x:c>
      <x:c r="C89" s="1">
        <x:f>Предметы!D70</x:f>
      </x:c>
      <x:c r="D89" s="9">
        <x:f>Предметы!J70</x:f>
      </x:c>
      <x:c r="E89" s="10">
        <x:f>Предметы!K70</x:f>
      </x:c>
      <x:c r="F89" s="12">
        <x:f>Предметы!N70</x:f>
      </x:c>
    </x:row>
    <x:row r="90" spans="1:6">
      <x:c r="A90" s="1">
        <x:f>Предметы!B71</x:f>
      </x:c>
      <x:c r="B90" s="1">
        <x:f>Предметы!A71</x:f>
      </x:c>
      <x:c r="C90" s="1">
        <x:f>Предметы!D71</x:f>
      </x:c>
      <x:c r="D90" s="9">
        <x:f>Предметы!J71</x:f>
      </x:c>
      <x:c r="E90" s="10">
        <x:f>Предметы!K71</x:f>
      </x:c>
      <x:c r="F90" s="12">
        <x:f>Предметы!N71</x:f>
      </x:c>
    </x:row>
    <x:row r="91" spans="1:6">
      <x:c r="A91" s="1">
        <x:f>Предметы!B72</x:f>
      </x:c>
      <x:c r="B91" s="1">
        <x:f>Предметы!A72</x:f>
      </x:c>
      <x:c r="C91" s="1">
        <x:f>Предметы!D72</x:f>
      </x:c>
      <x:c r="D91" s="9">
        <x:f>Предметы!J72</x:f>
      </x:c>
      <x:c r="E91" s="10">
        <x:f>Предметы!K72</x:f>
      </x:c>
      <x:c r="F91" s="12">
        <x:f>Предметы!N72</x:f>
      </x:c>
    </x:row>
    <x:row r="92" spans="1:6">
      <x:c r="A92" s="1">
        <x:f>Предметы!B73</x:f>
      </x:c>
      <x:c r="B92" s="1">
        <x:f>Предметы!A73</x:f>
      </x:c>
      <x:c r="C92" s="1">
        <x:f>Предметы!D73</x:f>
      </x:c>
      <x:c r="D92" s="9">
        <x:f>Предметы!J73</x:f>
      </x:c>
      <x:c r="E92" s="10">
        <x:f>Предметы!K73</x:f>
      </x:c>
      <x:c r="F92" s="12">
        <x:f>Предметы!N73</x:f>
      </x:c>
    </x:row>
    <x:row r="93" spans="1:6">
      <x:c r="A93" s="1">
        <x:f>Предметы!B74</x:f>
      </x:c>
      <x:c r="B93" s="1">
        <x:f>Предметы!A74</x:f>
      </x:c>
      <x:c r="C93" s="1">
        <x:f>Предметы!D74</x:f>
      </x:c>
      <x:c r="D93" s="9">
        <x:f>Предметы!J74</x:f>
      </x:c>
      <x:c r="E93" s="10">
        <x:f>Предметы!K74</x:f>
      </x:c>
      <x:c r="F93" s="12">
        <x:f>Предметы!N74</x:f>
      </x:c>
    </x:row>
    <x:row r="94" spans="1:6">
      <x:c r="A94" s="1">
        <x:f>Предметы!B75</x:f>
      </x:c>
      <x:c r="B94" s="1">
        <x:f>Предметы!A75</x:f>
      </x:c>
      <x:c r="C94" s="1">
        <x:f>Предметы!D75</x:f>
      </x:c>
      <x:c r="D94" s="9">
        <x:f>Предметы!J75</x:f>
      </x:c>
      <x:c r="E94" s="10">
        <x:f>Предметы!K75</x:f>
      </x:c>
      <x:c r="F94" s="12">
        <x:f>Предметы!N75</x:f>
      </x:c>
    </x:row>
    <x:row r="95" spans="1:6">
      <x:c r="A95" s="1">
        <x:f>Предметы!B76</x:f>
      </x:c>
      <x:c r="B95" s="1">
        <x:f>Предметы!A76</x:f>
      </x:c>
      <x:c r="C95" s="1">
        <x:f>Предметы!D76</x:f>
      </x:c>
      <x:c r="D95" s="9">
        <x:f>Предметы!J76</x:f>
      </x:c>
      <x:c r="E95" s="10">
        <x:f>Предметы!K76</x:f>
      </x:c>
      <x:c r="F95" s="12">
        <x:f>Предметы!N76</x:f>
      </x:c>
    </x:row>
    <x:row r="96" spans="1:6">
      <x:c r="A96" s="1">
        <x:f>Предметы!B77</x:f>
      </x:c>
      <x:c r="B96" s="1">
        <x:f>Предметы!A77</x:f>
      </x:c>
      <x:c r="C96" s="1">
        <x:f>Предметы!D77</x:f>
      </x:c>
      <x:c r="D96" s="9">
        <x:f>Предметы!J77</x:f>
      </x:c>
      <x:c r="E96" s="10">
        <x:f>Предметы!K77</x:f>
      </x:c>
      <x:c r="F96" s="12">
        <x:f>Предметы!N77</x:f>
      </x:c>
    </x:row>
    <x:row r="97" spans="1:6">
      <x:c r="A97" s="1">
        <x:f>Предметы!B78</x:f>
      </x:c>
      <x:c r="B97" s="1">
        <x:f>Предметы!A78</x:f>
      </x:c>
      <x:c r="C97" s="1">
        <x:f>Предметы!D78</x:f>
      </x:c>
      <x:c r="D97" s="9">
        <x:f>Предметы!J78</x:f>
      </x:c>
      <x:c r="E97" s="10">
        <x:f>Предметы!K78</x:f>
      </x:c>
      <x:c r="F97" s="12">
        <x:f>Предметы!N78</x:f>
      </x:c>
    </x:row>
    <x:row r="98" spans="1:6">
      <x:c r="A98" s="1">
        <x:f>Предметы!B79</x:f>
      </x:c>
      <x:c r="B98" s="1">
        <x:f>Предметы!A79</x:f>
      </x:c>
      <x:c r="C98" s="1">
        <x:f>Предметы!D79</x:f>
      </x:c>
      <x:c r="D98" s="9">
        <x:f>Предметы!J79</x:f>
      </x:c>
      <x:c r="E98" s="10">
        <x:f>Предметы!K79</x:f>
      </x:c>
      <x:c r="F98" s="12">
        <x:f>Предметы!N79</x:f>
      </x:c>
    </x:row>
    <x:row r="99" spans="1:6">
      <x:c r="A99" s="1">
        <x:f>Предметы!B80</x:f>
      </x:c>
      <x:c r="B99" s="1">
        <x:f>Предметы!A80</x:f>
      </x:c>
      <x:c r="C99" s="1">
        <x:f>Предметы!D80</x:f>
      </x:c>
      <x:c r="D99" s="9">
        <x:f>Предметы!J80</x:f>
      </x:c>
      <x:c r="E99" s="10">
        <x:f>Предметы!K80</x:f>
      </x:c>
      <x:c r="F99" s="12">
        <x:f>Предметы!N80</x:f>
      </x:c>
    </x:row>
    <x:row r="100" spans="1:6">
      <x:c r="A100" s="1">
        <x:f>Предметы!B81</x:f>
      </x:c>
      <x:c r="B100" s="1">
        <x:f>Предметы!A81</x:f>
      </x:c>
      <x:c r="C100" s="1">
        <x:f>Предметы!D81</x:f>
      </x:c>
      <x:c r="D100" s="9">
        <x:f>Предметы!J81</x:f>
      </x:c>
      <x:c r="E100" s="10">
        <x:f>Предметы!K81</x:f>
      </x:c>
      <x:c r="F100" s="12">
        <x:f>Предметы!N81</x:f>
      </x:c>
    </x:row>
    <x:row r="103" spans="1:6">
      <x:c r="A103" s="2" t="s">
        <x:v>289</x:v>
      </x:c>
      <x:c r="B103" s="14" t="s">
        <x:v>708</x:v>
      </x:c>
      <x:c r="C103" s="15">
        <x:f>Категории!C7</x:f>
      </x:c>
      <x:c r="D103" s="1">
        <x:f>"предметов: "&amp;Категории!D7</x:f>
      </x:c>
    </x:row>
    <x:row r="104" spans="1:6">
      <x:c r="A104" s="16" t="s">
        <x:v>26</x:v>
      </x:c>
      <x:c r="B104" s="16" t="s">
        <x:v>709</x:v>
      </x:c>
      <x:c r="C104" s="16" t="s">
        <x:v>17</x:v>
      </x:c>
      <x:c r="D104" s="16" t="s">
        <x:v>33</x:v>
      </x:c>
      <x:c r="E104" s="16" t="s">
        <x:v>34</x:v>
      </x:c>
      <x:c r="F104" s="16" t="s">
        <x:v>710</x:v>
      </x:c>
    </x:row>
    <x:row r="105" spans="1:6">
      <x:c r="A105" s="1">
        <x:f>Предметы!B82</x:f>
      </x:c>
      <x:c r="B105" s="1">
        <x:f>Предметы!A82</x:f>
      </x:c>
      <x:c r="C105" s="1">
        <x:f>Предметы!D82</x:f>
      </x:c>
      <x:c r="D105" s="9">
        <x:f>Предметы!J82</x:f>
      </x:c>
      <x:c r="E105" s="10">
        <x:f>Предметы!K82</x:f>
      </x:c>
      <x:c r="F105" s="12">
        <x:f>Предметы!N82</x:f>
      </x:c>
    </x:row>
    <x:row r="106" spans="1:6">
      <x:c r="A106" s="1">
        <x:f>Предметы!B83</x:f>
      </x:c>
      <x:c r="B106" s="1">
        <x:f>Предметы!A83</x:f>
      </x:c>
      <x:c r="C106" s="1">
        <x:f>Предметы!D83</x:f>
      </x:c>
      <x:c r="D106" s="9">
        <x:f>Предметы!J83</x:f>
      </x:c>
      <x:c r="E106" s="10">
        <x:f>Предметы!K83</x:f>
      </x:c>
      <x:c r="F106" s="12">
        <x:f>Предметы!N83</x:f>
      </x:c>
    </x:row>
    <x:row r="107" spans="1:6">
      <x:c r="A107" s="1">
        <x:f>Предметы!B84</x:f>
      </x:c>
      <x:c r="B107" s="1">
        <x:f>Предметы!A84</x:f>
      </x:c>
      <x:c r="C107" s="1">
        <x:f>Предметы!D84</x:f>
      </x:c>
      <x:c r="D107" s="9">
        <x:f>Предметы!J84</x:f>
      </x:c>
      <x:c r="E107" s="10">
        <x:f>Предметы!K84</x:f>
      </x:c>
      <x:c r="F107" s="12">
        <x:f>Предметы!N84</x:f>
      </x:c>
    </x:row>
    <x:row r="108" spans="1:6">
      <x:c r="A108" s="1">
        <x:f>Предметы!B85</x:f>
      </x:c>
      <x:c r="B108" s="1">
        <x:f>Предметы!A85</x:f>
      </x:c>
      <x:c r="C108" s="1">
        <x:f>Предметы!D85</x:f>
      </x:c>
      <x:c r="D108" s="9">
        <x:f>Предметы!J85</x:f>
      </x:c>
      <x:c r="E108" s="10">
        <x:f>Предметы!K85</x:f>
      </x:c>
      <x:c r="F108" s="12">
        <x:f>Предметы!N85</x:f>
      </x:c>
    </x:row>
    <x:row r="109" spans="1:6">
      <x:c r="A109" s="1">
        <x:f>Предметы!B86</x:f>
      </x:c>
      <x:c r="B109" s="1">
        <x:f>Предметы!A86</x:f>
      </x:c>
      <x:c r="C109" s="1">
        <x:f>Предметы!D86</x:f>
      </x:c>
      <x:c r="D109" s="9">
        <x:f>Предметы!J86</x:f>
      </x:c>
      <x:c r="E109" s="10">
        <x:f>Предметы!K86</x:f>
      </x:c>
      <x:c r="F109" s="12">
        <x:f>Предметы!N86</x:f>
      </x:c>
    </x:row>
    <x:row r="110" spans="1:6">
      <x:c r="A110" s="1">
        <x:f>Предметы!B87</x:f>
      </x:c>
      <x:c r="B110" s="1">
        <x:f>Предметы!A87</x:f>
      </x:c>
      <x:c r="C110" s="1">
        <x:f>Предметы!D87</x:f>
      </x:c>
      <x:c r="D110" s="9">
        <x:f>Предметы!J87</x:f>
      </x:c>
      <x:c r="E110" s="10">
        <x:f>Предметы!K87</x:f>
      </x:c>
      <x:c r="F110" s="12">
        <x:f>Предметы!N87</x:f>
      </x:c>
    </x:row>
    <x:row r="111" spans="1:6">
      <x:c r="A111" s="1">
        <x:f>Предметы!B88</x:f>
      </x:c>
      <x:c r="B111" s="1">
        <x:f>Предметы!A88</x:f>
      </x:c>
      <x:c r="C111" s="1">
        <x:f>Предметы!D88</x:f>
      </x:c>
      <x:c r="D111" s="9">
        <x:f>Предметы!J88</x:f>
      </x:c>
      <x:c r="E111" s="10">
        <x:f>Предметы!K88</x:f>
      </x:c>
      <x:c r="F111" s="12">
        <x:f>Предметы!N88</x:f>
      </x:c>
    </x:row>
    <x:row r="112" spans="1:6">
      <x:c r="A112" s="1">
        <x:f>Предметы!B89</x:f>
      </x:c>
      <x:c r="B112" s="1">
        <x:f>Предметы!A89</x:f>
      </x:c>
      <x:c r="C112" s="1">
        <x:f>Предметы!D89</x:f>
      </x:c>
      <x:c r="D112" s="9">
        <x:f>Предметы!J89</x:f>
      </x:c>
      <x:c r="E112" s="10">
        <x:f>Предметы!K89</x:f>
      </x:c>
      <x:c r="F112" s="12">
        <x:f>Предметы!N89</x:f>
      </x:c>
    </x:row>
    <x:row r="113" spans="1:6">
      <x:c r="A113" s="1">
        <x:f>Предметы!B90</x:f>
      </x:c>
      <x:c r="B113" s="1">
        <x:f>Предметы!A90</x:f>
      </x:c>
      <x:c r="C113" s="1">
        <x:f>Предметы!D90</x:f>
      </x:c>
      <x:c r="D113" s="9">
        <x:f>Предметы!J90</x:f>
      </x:c>
      <x:c r="E113" s="10">
        <x:f>Предметы!K90</x:f>
      </x:c>
      <x:c r="F113" s="12">
        <x:f>Предметы!N90</x:f>
      </x:c>
    </x:row>
    <x:row r="114" spans="1:6">
      <x:c r="A114" s="1">
        <x:f>Предметы!B91</x:f>
      </x:c>
      <x:c r="B114" s="1">
        <x:f>Предметы!A91</x:f>
      </x:c>
      <x:c r="C114" s="1">
        <x:f>Предметы!D91</x:f>
      </x:c>
      <x:c r="D114" s="9">
        <x:f>Предметы!J91</x:f>
      </x:c>
      <x:c r="E114" s="10">
        <x:f>Предметы!K91</x:f>
      </x:c>
      <x:c r="F114" s="12">
        <x:f>Предметы!N91</x:f>
      </x:c>
    </x:row>
    <x:row r="115" spans="1:6">
      <x:c r="A115" s="1">
        <x:f>Предметы!B92</x:f>
      </x:c>
      <x:c r="B115" s="1">
        <x:f>Предметы!A92</x:f>
      </x:c>
      <x:c r="C115" s="1">
        <x:f>Предметы!D92</x:f>
      </x:c>
      <x:c r="D115" s="9">
        <x:f>Предметы!J92</x:f>
      </x:c>
      <x:c r="E115" s="10">
        <x:f>Предметы!K92</x:f>
      </x:c>
      <x:c r="F115" s="12">
        <x:f>Предметы!N92</x:f>
      </x:c>
    </x:row>
    <x:row r="116" spans="1:6">
      <x:c r="A116" s="1">
        <x:f>Предметы!B93</x:f>
      </x:c>
      <x:c r="B116" s="1">
        <x:f>Предметы!A93</x:f>
      </x:c>
      <x:c r="C116" s="1">
        <x:f>Предметы!D93</x:f>
      </x:c>
      <x:c r="D116" s="9">
        <x:f>Предметы!J93</x:f>
      </x:c>
      <x:c r="E116" s="10">
        <x:f>Предметы!K93</x:f>
      </x:c>
      <x:c r="F116" s="12">
        <x:f>Предметы!N93</x:f>
      </x:c>
    </x:row>
    <x:row r="117" spans="1:6">
      <x:c r="A117" s="1">
        <x:f>Предметы!B94</x:f>
      </x:c>
      <x:c r="B117" s="1">
        <x:f>Предметы!A94</x:f>
      </x:c>
      <x:c r="C117" s="1">
        <x:f>Предметы!D94</x:f>
      </x:c>
      <x:c r="D117" s="9">
        <x:f>Предметы!J94</x:f>
      </x:c>
      <x:c r="E117" s="10">
        <x:f>Предметы!K94</x:f>
      </x:c>
      <x:c r="F117" s="12">
        <x:f>Предметы!N94</x:f>
      </x:c>
    </x:row>
    <x:row r="118" spans="1:6">
      <x:c r="A118" s="1">
        <x:f>Предметы!B95</x:f>
      </x:c>
      <x:c r="B118" s="1">
        <x:f>Предметы!A95</x:f>
      </x:c>
      <x:c r="C118" s="1">
        <x:f>Предметы!D95</x:f>
      </x:c>
      <x:c r="D118" s="9">
        <x:f>Предметы!J95</x:f>
      </x:c>
      <x:c r="E118" s="10">
        <x:f>Предметы!K95</x:f>
      </x:c>
      <x:c r="F118" s="12">
        <x:f>Предметы!N95</x:f>
      </x:c>
    </x:row>
    <x:row r="119" spans="1:6">
      <x:c r="A119" s="1">
        <x:f>Предметы!B96</x:f>
      </x:c>
      <x:c r="B119" s="1">
        <x:f>Предметы!A96</x:f>
      </x:c>
      <x:c r="C119" s="1">
        <x:f>Предметы!D96</x:f>
      </x:c>
      <x:c r="D119" s="9">
        <x:f>Предметы!J96</x:f>
      </x:c>
      <x:c r="E119" s="10">
        <x:f>Предметы!K96</x:f>
      </x:c>
      <x:c r="F119" s="12">
        <x:f>Предметы!N96</x:f>
      </x:c>
    </x:row>
    <x:row r="120" spans="1:6">
      <x:c r="A120" s="1">
        <x:f>Предметы!B97</x:f>
      </x:c>
      <x:c r="B120" s="1">
        <x:f>Предметы!A97</x:f>
      </x:c>
      <x:c r="C120" s="1">
        <x:f>Предметы!D97</x:f>
      </x:c>
      <x:c r="D120" s="9">
        <x:f>Предметы!J97</x:f>
      </x:c>
      <x:c r="E120" s="10">
        <x:f>Предметы!K97</x:f>
      </x:c>
      <x:c r="F120" s="12">
        <x:f>Предметы!N97</x:f>
      </x:c>
    </x:row>
    <x:row r="123" spans="1:6">
      <x:c r="A123" s="2" t="s">
        <x:v>338</x:v>
      </x:c>
      <x:c r="B123" s="14" t="s">
        <x:v>708</x:v>
      </x:c>
      <x:c r="C123" s="15">
        <x:f>Категории!C8</x:f>
      </x:c>
      <x:c r="D123" s="1">
        <x:f>"предметов: "&amp;Категории!D8</x:f>
      </x:c>
    </x:row>
    <x:row r="124" spans="1:6">
      <x:c r="A124" s="16" t="s">
        <x:v>26</x:v>
      </x:c>
      <x:c r="B124" s="16" t="s">
        <x:v>709</x:v>
      </x:c>
      <x:c r="C124" s="16" t="s">
        <x:v>17</x:v>
      </x:c>
      <x:c r="D124" s="16" t="s">
        <x:v>33</x:v>
      </x:c>
      <x:c r="E124" s="16" t="s">
        <x:v>34</x:v>
      </x:c>
      <x:c r="F124" s="16" t="s">
        <x:v>710</x:v>
      </x:c>
    </x:row>
    <x:row r="125" spans="1:6">
      <x:c r="A125" s="1">
        <x:f>Предметы!B98</x:f>
      </x:c>
      <x:c r="B125" s="1">
        <x:f>Предметы!A98</x:f>
      </x:c>
      <x:c r="C125" s="1">
        <x:f>Предметы!D98</x:f>
      </x:c>
      <x:c r="D125" s="9">
        <x:f>Предметы!J98</x:f>
      </x:c>
      <x:c r="E125" s="10">
        <x:f>Предметы!K98</x:f>
      </x:c>
      <x:c r="F125" s="12">
        <x:f>Предметы!N98</x:f>
      </x:c>
    </x:row>
    <x:row r="126" spans="1:6">
      <x:c r="A126" s="1">
        <x:f>Предметы!B99</x:f>
      </x:c>
      <x:c r="B126" s="1">
        <x:f>Предметы!A99</x:f>
      </x:c>
      <x:c r="C126" s="1">
        <x:f>Предметы!D99</x:f>
      </x:c>
      <x:c r="D126" s="9">
        <x:f>Предметы!J99</x:f>
      </x:c>
      <x:c r="E126" s="10">
        <x:f>Предметы!K99</x:f>
      </x:c>
      <x:c r="F126" s="12">
        <x:f>Предметы!N99</x:f>
      </x:c>
    </x:row>
    <x:row r="127" spans="1:6">
      <x:c r="A127" s="1">
        <x:f>Предметы!B100</x:f>
      </x:c>
      <x:c r="B127" s="1">
        <x:f>Предметы!A100</x:f>
      </x:c>
      <x:c r="C127" s="1">
        <x:f>Предметы!D100</x:f>
      </x:c>
      <x:c r="D127" s="9">
        <x:f>Предметы!J100</x:f>
      </x:c>
      <x:c r="E127" s="10">
        <x:f>Предметы!K100</x:f>
      </x:c>
      <x:c r="F127" s="12">
        <x:f>Предметы!N100</x:f>
      </x:c>
    </x:row>
    <x:row r="128" spans="1:6">
      <x:c r="A128" s="1">
        <x:f>Предметы!B101</x:f>
      </x:c>
      <x:c r="B128" s="1">
        <x:f>Предметы!A101</x:f>
      </x:c>
      <x:c r="C128" s="1">
        <x:f>Предметы!D101</x:f>
      </x:c>
      <x:c r="D128" s="9">
        <x:f>Предметы!J101</x:f>
      </x:c>
      <x:c r="E128" s="10">
        <x:f>Предметы!K101</x:f>
      </x:c>
      <x:c r="F128" s="12">
        <x:f>Предметы!N101</x:f>
      </x:c>
    </x:row>
    <x:row r="129" spans="1:6">
      <x:c r="A129" s="1">
        <x:f>Предметы!B102</x:f>
      </x:c>
      <x:c r="B129" s="1">
        <x:f>Предметы!A102</x:f>
      </x:c>
      <x:c r="C129" s="1">
        <x:f>Предметы!D102</x:f>
      </x:c>
      <x:c r="D129" s="9">
        <x:f>Предметы!J102</x:f>
      </x:c>
      <x:c r="E129" s="10">
        <x:f>Предметы!K102</x:f>
      </x:c>
      <x:c r="F129" s="12">
        <x:f>Предметы!N102</x:f>
      </x:c>
    </x:row>
    <x:row r="130" spans="1:6">
      <x:c r="A130" s="1">
        <x:f>Предметы!B103</x:f>
      </x:c>
      <x:c r="B130" s="1">
        <x:f>Предметы!A103</x:f>
      </x:c>
      <x:c r="C130" s="1">
        <x:f>Предметы!D103</x:f>
      </x:c>
      <x:c r="D130" s="9">
        <x:f>Предметы!J103</x:f>
      </x:c>
      <x:c r="E130" s="10">
        <x:f>Предметы!K103</x:f>
      </x:c>
      <x:c r="F130" s="12">
        <x:f>Предметы!N103</x:f>
      </x:c>
    </x:row>
    <x:row r="131" spans="1:6">
      <x:c r="A131" s="1">
        <x:f>Предметы!B104</x:f>
      </x:c>
      <x:c r="B131" s="1">
        <x:f>Предметы!A104</x:f>
      </x:c>
      <x:c r="C131" s="1">
        <x:f>Предметы!D104</x:f>
      </x:c>
      <x:c r="D131" s="9">
        <x:f>Предметы!J104</x:f>
      </x:c>
      <x:c r="E131" s="10">
        <x:f>Предметы!K104</x:f>
      </x:c>
      <x:c r="F131" s="12">
        <x:f>Предметы!N104</x:f>
      </x:c>
    </x:row>
    <x:row r="132" spans="1:6">
      <x:c r="A132" s="1">
        <x:f>Предметы!B105</x:f>
      </x:c>
      <x:c r="B132" s="1">
        <x:f>Предметы!A105</x:f>
      </x:c>
      <x:c r="C132" s="1">
        <x:f>Предметы!D105</x:f>
      </x:c>
      <x:c r="D132" s="9">
        <x:f>Предметы!J105</x:f>
      </x:c>
      <x:c r="E132" s="10">
        <x:f>Предметы!K105</x:f>
      </x:c>
      <x:c r="F132" s="12">
        <x:f>Предметы!N105</x:f>
      </x:c>
    </x:row>
    <x:row r="135" spans="1:6">
      <x:c r="A135" s="2" t="s">
        <x:v>363</x:v>
      </x:c>
      <x:c r="B135" s="14" t="s">
        <x:v>708</x:v>
      </x:c>
      <x:c r="C135" s="15">
        <x:f>Категории!C9</x:f>
      </x:c>
      <x:c r="D135" s="1">
        <x:f>"предметов: "&amp;Категории!D9</x:f>
      </x:c>
    </x:row>
    <x:row r="136" spans="1:6">
      <x:c r="A136" s="16" t="s">
        <x:v>26</x:v>
      </x:c>
      <x:c r="B136" s="16" t="s">
        <x:v>709</x:v>
      </x:c>
      <x:c r="C136" s="16" t="s">
        <x:v>17</x:v>
      </x:c>
      <x:c r="D136" s="16" t="s">
        <x:v>33</x:v>
      </x:c>
      <x:c r="E136" s="16" t="s">
        <x:v>34</x:v>
      </x:c>
      <x:c r="F136" s="16" t="s">
        <x:v>710</x:v>
      </x:c>
    </x:row>
    <x:row r="137" spans="1:6">
      <x:c r="A137" s="1">
        <x:f>Предметы!B106</x:f>
      </x:c>
      <x:c r="B137" s="1">
        <x:f>Предметы!A106</x:f>
      </x:c>
      <x:c r="C137" s="1">
        <x:f>Предметы!D106</x:f>
      </x:c>
      <x:c r="D137" s="9">
        <x:f>Предметы!J106</x:f>
      </x:c>
      <x:c r="E137" s="10">
        <x:f>Предметы!K106</x:f>
      </x:c>
      <x:c r="F137" s="12">
        <x:f>Предметы!N106</x:f>
      </x:c>
    </x:row>
    <x:row r="138" spans="1:6">
      <x:c r="A138" s="1">
        <x:f>Предметы!B107</x:f>
      </x:c>
      <x:c r="B138" s="1">
        <x:f>Предметы!A107</x:f>
      </x:c>
      <x:c r="C138" s="1">
        <x:f>Предметы!D107</x:f>
      </x:c>
      <x:c r="D138" s="9">
        <x:f>Предметы!J107</x:f>
      </x:c>
      <x:c r="E138" s="10">
        <x:f>Предметы!K107</x:f>
      </x:c>
      <x:c r="F138" s="12">
        <x:f>Предметы!N107</x:f>
      </x:c>
    </x:row>
    <x:row r="139" spans="1:6">
      <x:c r="A139" s="1">
        <x:f>Предметы!B108</x:f>
      </x:c>
      <x:c r="B139" s="1">
        <x:f>Предметы!A108</x:f>
      </x:c>
      <x:c r="C139" s="1">
        <x:f>Предметы!D108</x:f>
      </x:c>
      <x:c r="D139" s="9">
        <x:f>Предметы!J108</x:f>
      </x:c>
      <x:c r="E139" s="10">
        <x:f>Предметы!K108</x:f>
      </x:c>
      <x:c r="F139" s="12">
        <x:f>Предметы!N108</x:f>
      </x:c>
    </x:row>
    <x:row r="140" spans="1:6">
      <x:c r="A140" s="1">
        <x:f>Предметы!B109</x:f>
      </x:c>
      <x:c r="B140" s="1">
        <x:f>Предметы!A109</x:f>
      </x:c>
      <x:c r="C140" s="1">
        <x:f>Предметы!D109</x:f>
      </x:c>
      <x:c r="D140" s="9">
        <x:f>Предметы!J109</x:f>
      </x:c>
      <x:c r="E140" s="10">
        <x:f>Предметы!K109</x:f>
      </x:c>
      <x:c r="F140" s="12">
        <x:f>Предметы!N109</x:f>
      </x:c>
    </x:row>
    <x:row r="141" spans="1:6">
      <x:c r="A141" s="1">
        <x:f>Предметы!B110</x:f>
      </x:c>
      <x:c r="B141" s="1">
        <x:f>Предметы!A110</x:f>
      </x:c>
      <x:c r="C141" s="1">
        <x:f>Предметы!D110</x:f>
      </x:c>
      <x:c r="D141" s="9">
        <x:f>Предметы!J110</x:f>
      </x:c>
      <x:c r="E141" s="10">
        <x:f>Предметы!K110</x:f>
      </x:c>
      <x:c r="F141" s="12">
        <x:f>Предметы!N110</x:f>
      </x:c>
    </x:row>
    <x:row r="142" spans="1:6">
      <x:c r="A142" s="1">
        <x:f>Предметы!B111</x:f>
      </x:c>
      <x:c r="B142" s="1">
        <x:f>Предметы!A111</x:f>
      </x:c>
      <x:c r="C142" s="1">
        <x:f>Предметы!D111</x:f>
      </x:c>
      <x:c r="D142" s="9">
        <x:f>Предметы!J111</x:f>
      </x:c>
      <x:c r="E142" s="10">
        <x:f>Предметы!K111</x:f>
      </x:c>
      <x:c r="F142" s="12">
        <x:f>Предметы!N111</x:f>
      </x:c>
    </x:row>
    <x:row r="143" spans="1:6">
      <x:c r="A143" s="1">
        <x:f>Предметы!B112</x:f>
      </x:c>
      <x:c r="B143" s="1">
        <x:f>Предметы!A112</x:f>
      </x:c>
      <x:c r="C143" s="1">
        <x:f>Предметы!D112</x:f>
      </x:c>
      <x:c r="D143" s="9">
        <x:f>Предметы!J112</x:f>
      </x:c>
      <x:c r="E143" s="10">
        <x:f>Предметы!K112</x:f>
      </x:c>
      <x:c r="F143" s="12">
        <x:f>Предметы!N112</x:f>
      </x:c>
    </x:row>
    <x:row r="144" spans="1:6">
      <x:c r="A144" s="1">
        <x:f>Предметы!B113</x:f>
      </x:c>
      <x:c r="B144" s="1">
        <x:f>Предметы!A113</x:f>
      </x:c>
      <x:c r="C144" s="1">
        <x:f>Предметы!D113</x:f>
      </x:c>
      <x:c r="D144" s="9">
        <x:f>Предметы!J113</x:f>
      </x:c>
      <x:c r="E144" s="10">
        <x:f>Предметы!K113</x:f>
      </x:c>
      <x:c r="F144" s="12">
        <x:f>Предметы!N113</x:f>
      </x:c>
    </x:row>
    <x:row r="145" spans="1:6">
      <x:c r="A145" s="1">
        <x:f>Предметы!B114</x:f>
      </x:c>
      <x:c r="B145" s="1">
        <x:f>Предметы!A114</x:f>
      </x:c>
      <x:c r="C145" s="1">
        <x:f>Предметы!D114</x:f>
      </x:c>
      <x:c r="D145" s="9">
        <x:f>Предметы!J114</x:f>
      </x:c>
      <x:c r="E145" s="10">
        <x:f>Предметы!K114</x:f>
      </x:c>
      <x:c r="F145" s="12">
        <x:f>Предметы!N114</x:f>
      </x:c>
    </x:row>
    <x:row r="146" spans="1:6">
      <x:c r="A146" s="1">
        <x:f>Предметы!B115</x:f>
      </x:c>
      <x:c r="B146" s="1">
        <x:f>Предметы!A115</x:f>
      </x:c>
      <x:c r="C146" s="1">
        <x:f>Предметы!D115</x:f>
      </x:c>
      <x:c r="D146" s="9">
        <x:f>Предметы!J115</x:f>
      </x:c>
      <x:c r="E146" s="10">
        <x:f>Предметы!K115</x:f>
      </x:c>
      <x:c r="F146" s="12">
        <x:f>Предметы!N115</x:f>
      </x:c>
    </x:row>
    <x:row r="147" spans="1:6">
      <x:c r="A147" s="1">
        <x:f>Предметы!B116</x:f>
      </x:c>
      <x:c r="B147" s="1">
        <x:f>Предметы!A116</x:f>
      </x:c>
      <x:c r="C147" s="1">
        <x:f>Предметы!D116</x:f>
      </x:c>
      <x:c r="D147" s="9">
        <x:f>Предметы!J116</x:f>
      </x:c>
      <x:c r="E147" s="10">
        <x:f>Предметы!K116</x:f>
      </x:c>
      <x:c r="F147" s="12">
        <x:f>Предметы!N116</x:f>
      </x:c>
    </x:row>
    <x:row r="148" spans="1:6">
      <x:c r="A148" s="1">
        <x:f>Предметы!B117</x:f>
      </x:c>
      <x:c r="B148" s="1">
        <x:f>Предметы!A117</x:f>
      </x:c>
      <x:c r="C148" s="1">
        <x:f>Предметы!D117</x:f>
      </x:c>
      <x:c r="D148" s="9">
        <x:f>Предметы!J117</x:f>
      </x:c>
      <x:c r="E148" s="10">
        <x:f>Предметы!K117</x:f>
      </x:c>
      <x:c r="F148" s="12">
        <x:f>Предметы!N117</x:f>
      </x:c>
    </x:row>
    <x:row r="149" spans="1:6">
      <x:c r="A149" s="1">
        <x:f>Предметы!B118</x:f>
      </x:c>
      <x:c r="B149" s="1">
        <x:f>Предметы!A118</x:f>
      </x:c>
      <x:c r="C149" s="1">
        <x:f>Предметы!D118</x:f>
      </x:c>
      <x:c r="D149" s="9">
        <x:f>Предметы!J118</x:f>
      </x:c>
      <x:c r="E149" s="10">
        <x:f>Предметы!K118</x:f>
      </x:c>
      <x:c r="F149" s="12">
        <x:f>Предметы!N118</x:f>
      </x:c>
    </x:row>
    <x:row r="150" spans="1:6">
      <x:c r="A150" s="1">
        <x:f>Предметы!B119</x:f>
      </x:c>
      <x:c r="B150" s="1">
        <x:f>Предметы!A119</x:f>
      </x:c>
      <x:c r="C150" s="1">
        <x:f>Предметы!D119</x:f>
      </x:c>
      <x:c r="D150" s="9">
        <x:f>Предметы!J119</x:f>
      </x:c>
      <x:c r="E150" s="10">
        <x:f>Предметы!K119</x:f>
      </x:c>
      <x:c r="F150" s="12">
        <x:f>Предметы!N119</x:f>
      </x:c>
    </x:row>
    <x:row r="151" spans="1:6">
      <x:c r="A151" s="1">
        <x:f>Предметы!B120</x:f>
      </x:c>
      <x:c r="B151" s="1">
        <x:f>Предметы!A120</x:f>
      </x:c>
      <x:c r="C151" s="1">
        <x:f>Предметы!D120</x:f>
      </x:c>
      <x:c r="D151" s="9">
        <x:f>Предметы!J120</x:f>
      </x:c>
      <x:c r="E151" s="10">
        <x:f>Предметы!K120</x:f>
      </x:c>
      <x:c r="F151" s="12">
        <x:f>Предметы!N120</x:f>
      </x:c>
    </x:row>
    <x:row r="152" spans="1:6">
      <x:c r="A152" s="1">
        <x:f>Предметы!B121</x:f>
      </x:c>
      <x:c r="B152" s="1">
        <x:f>Предметы!A121</x:f>
      </x:c>
      <x:c r="C152" s="1">
        <x:f>Предметы!D121</x:f>
      </x:c>
      <x:c r="D152" s="9">
        <x:f>Предметы!J121</x:f>
      </x:c>
      <x:c r="E152" s="10">
        <x:f>Предметы!K121</x:f>
      </x:c>
      <x:c r="F152" s="12">
        <x:f>Предметы!N121</x:f>
      </x:c>
    </x:row>
    <x:row r="153" spans="1:6">
      <x:c r="A153" s="1">
        <x:f>Предметы!B122</x:f>
      </x:c>
      <x:c r="B153" s="1">
        <x:f>Предметы!A122</x:f>
      </x:c>
      <x:c r="C153" s="1">
        <x:f>Предметы!D122</x:f>
      </x:c>
      <x:c r="D153" s="9">
        <x:f>Предметы!J122</x:f>
      </x:c>
      <x:c r="E153" s="10">
        <x:f>Предметы!K122</x:f>
      </x:c>
      <x:c r="F153" s="12">
        <x:f>Предметы!N122</x:f>
      </x:c>
    </x:row>
    <x:row r="154" spans="1:6">
      <x:c r="A154" s="1">
        <x:f>Предметы!B123</x:f>
      </x:c>
      <x:c r="B154" s="1">
        <x:f>Предметы!A123</x:f>
      </x:c>
      <x:c r="C154" s="1">
        <x:f>Предметы!D123</x:f>
      </x:c>
      <x:c r="D154" s="9">
        <x:f>Предметы!J123</x:f>
      </x:c>
      <x:c r="E154" s="10">
        <x:f>Предметы!K123</x:f>
      </x:c>
      <x:c r="F154" s="12">
        <x:f>Предметы!N123</x:f>
      </x:c>
    </x:row>
    <x:row r="155" spans="1:6">
      <x:c r="A155" s="1">
        <x:f>Предметы!B124</x:f>
      </x:c>
      <x:c r="B155" s="1">
        <x:f>Предметы!A124</x:f>
      </x:c>
      <x:c r="C155" s="1">
        <x:f>Предметы!D124</x:f>
      </x:c>
      <x:c r="D155" s="9">
        <x:f>Предметы!J124</x:f>
      </x:c>
      <x:c r="E155" s="10">
        <x:f>Предметы!K124</x:f>
      </x:c>
      <x:c r="F155" s="12">
        <x:f>Предметы!N124</x:f>
      </x:c>
    </x:row>
    <x:row r="156" spans="1:6">
      <x:c r="A156" s="1">
        <x:f>Предметы!B125</x:f>
      </x:c>
      <x:c r="B156" s="1">
        <x:f>Предметы!A125</x:f>
      </x:c>
      <x:c r="C156" s="1">
        <x:f>Предметы!D125</x:f>
      </x:c>
      <x:c r="D156" s="9">
        <x:f>Предметы!J125</x:f>
      </x:c>
      <x:c r="E156" s="10">
        <x:f>Предметы!K125</x:f>
      </x:c>
      <x:c r="F156" s="12">
        <x:f>Предметы!N125</x:f>
      </x:c>
    </x:row>
    <x:row r="157" spans="1:6">
      <x:c r="A157" s="1">
        <x:f>Предметы!B126</x:f>
      </x:c>
      <x:c r="B157" s="1">
        <x:f>Предметы!A126</x:f>
      </x:c>
      <x:c r="C157" s="1">
        <x:f>Предметы!D126</x:f>
      </x:c>
      <x:c r="D157" s="9">
        <x:f>Предметы!J126</x:f>
      </x:c>
      <x:c r="E157" s="10">
        <x:f>Предметы!K126</x:f>
      </x:c>
      <x:c r="F157" s="12">
        <x:f>Предметы!N126</x:f>
      </x:c>
    </x:row>
    <x:row r="158" spans="1:6">
      <x:c r="A158" s="1">
        <x:f>Предметы!B127</x:f>
      </x:c>
      <x:c r="B158" s="1">
        <x:f>Предметы!A127</x:f>
      </x:c>
      <x:c r="C158" s="1">
        <x:f>Предметы!D127</x:f>
      </x:c>
      <x:c r="D158" s="9">
        <x:f>Предметы!J127</x:f>
      </x:c>
      <x:c r="E158" s="10">
        <x:f>Предметы!K127</x:f>
      </x:c>
      <x:c r="F158" s="12">
        <x:f>Предметы!N127</x:f>
      </x:c>
    </x:row>
    <x:row r="159" spans="1:6">
      <x:c r="A159" s="1">
        <x:f>Предметы!B128</x:f>
      </x:c>
      <x:c r="B159" s="1">
        <x:f>Предметы!A128</x:f>
      </x:c>
      <x:c r="C159" s="1">
        <x:f>Предметы!D128</x:f>
      </x:c>
      <x:c r="D159" s="9">
        <x:f>Предметы!J128</x:f>
      </x:c>
      <x:c r="E159" s="10">
        <x:f>Предметы!K128</x:f>
      </x:c>
      <x:c r="F159" s="12">
        <x:f>Предметы!N128</x:f>
      </x:c>
    </x:row>
    <x:row r="160" spans="1:6">
      <x:c r="A160" s="1">
        <x:f>Предметы!B129</x:f>
      </x:c>
      <x:c r="B160" s="1">
        <x:f>Предметы!A129</x:f>
      </x:c>
      <x:c r="C160" s="1">
        <x:f>Предметы!D129</x:f>
      </x:c>
      <x:c r="D160" s="9">
        <x:f>Предметы!J129</x:f>
      </x:c>
      <x:c r="E160" s="10">
        <x:f>Предметы!K129</x:f>
      </x:c>
      <x:c r="F160" s="12">
        <x:f>Предметы!N129</x:f>
      </x:c>
    </x:row>
    <x:row r="161" spans="1:6">
      <x:c r="A161" s="1">
        <x:f>Предметы!B130</x:f>
      </x:c>
      <x:c r="B161" s="1">
        <x:f>Предметы!A130</x:f>
      </x:c>
      <x:c r="C161" s="1">
        <x:f>Предметы!D130</x:f>
      </x:c>
      <x:c r="D161" s="9">
        <x:f>Предметы!J130</x:f>
      </x:c>
      <x:c r="E161" s="10">
        <x:f>Предметы!K130</x:f>
      </x:c>
      <x:c r="F161" s="12">
        <x:f>Предметы!N130</x:f>
      </x:c>
    </x:row>
    <x:row r="162" spans="1:6">
      <x:c r="A162" s="1">
        <x:f>Предметы!B131</x:f>
      </x:c>
      <x:c r="B162" s="1">
        <x:f>Предметы!A131</x:f>
      </x:c>
      <x:c r="C162" s="1">
        <x:f>Предметы!D131</x:f>
      </x:c>
      <x:c r="D162" s="9">
        <x:f>Предметы!J131</x:f>
      </x:c>
      <x:c r="E162" s="10">
        <x:f>Предметы!K131</x:f>
      </x:c>
      <x:c r="F162" s="12">
        <x:f>Предметы!N131</x:f>
      </x:c>
    </x:row>
    <x:row r="163" spans="1:6">
      <x:c r="A163" s="1">
        <x:f>Предметы!B132</x:f>
      </x:c>
      <x:c r="B163" s="1">
        <x:f>Предметы!A132</x:f>
      </x:c>
      <x:c r="C163" s="1">
        <x:f>Предметы!D132</x:f>
      </x:c>
      <x:c r="D163" s="9">
        <x:f>Предметы!J132</x:f>
      </x:c>
      <x:c r="E163" s="10">
        <x:f>Предметы!K132</x:f>
      </x:c>
      <x:c r="F163" s="12">
        <x:f>Предметы!N132</x:f>
      </x:c>
    </x:row>
    <x:row r="164" spans="1:6">
      <x:c r="A164" s="1">
        <x:f>Предметы!B133</x:f>
      </x:c>
      <x:c r="B164" s="1">
        <x:f>Предметы!A133</x:f>
      </x:c>
      <x:c r="C164" s="1">
        <x:f>Предметы!D133</x:f>
      </x:c>
      <x:c r="D164" s="9">
        <x:f>Предметы!J133</x:f>
      </x:c>
      <x:c r="E164" s="10">
        <x:f>Предметы!K133</x:f>
      </x:c>
      <x:c r="F164" s="12">
        <x:f>Предметы!N133</x:f>
      </x:c>
    </x:row>
    <x:row r="165" spans="1:6">
      <x:c r="A165" s="1">
        <x:f>Предметы!B134</x:f>
      </x:c>
      <x:c r="B165" s="1">
        <x:f>Предметы!A134</x:f>
      </x:c>
      <x:c r="C165" s="1">
        <x:f>Предметы!D134</x:f>
      </x:c>
      <x:c r="D165" s="9">
        <x:f>Предметы!J134</x:f>
      </x:c>
      <x:c r="E165" s="10">
        <x:f>Предметы!K134</x:f>
      </x:c>
      <x:c r="F165" s="12">
        <x:f>Предметы!N134</x:f>
      </x:c>
    </x:row>
    <x:row r="166" spans="1:6">
      <x:c r="A166" s="1">
        <x:f>Предметы!B135</x:f>
      </x:c>
      <x:c r="B166" s="1">
        <x:f>Предметы!A135</x:f>
      </x:c>
      <x:c r="C166" s="1">
        <x:f>Предметы!D135</x:f>
      </x:c>
      <x:c r="D166" s="9">
        <x:f>Предметы!J135</x:f>
      </x:c>
      <x:c r="E166" s="10">
        <x:f>Предметы!K135</x:f>
      </x:c>
      <x:c r="F166" s="12">
        <x:f>Предметы!N135</x:f>
      </x:c>
    </x:row>
    <x:row r="167" spans="1:6">
      <x:c r="A167" s="1">
        <x:f>Предметы!B136</x:f>
      </x:c>
      <x:c r="B167" s="1">
        <x:f>Предметы!A136</x:f>
      </x:c>
      <x:c r="C167" s="1">
        <x:f>Предметы!D136</x:f>
      </x:c>
      <x:c r="D167" s="9">
        <x:f>Предметы!J136</x:f>
      </x:c>
      <x:c r="E167" s="10">
        <x:f>Предметы!K136</x:f>
      </x:c>
      <x:c r="F167" s="12">
        <x:f>Предметы!N136</x:f>
      </x:c>
    </x:row>
    <x:row r="168" spans="1:6">
      <x:c r="A168" s="1">
        <x:f>Предметы!B137</x:f>
      </x:c>
      <x:c r="B168" s="1">
        <x:f>Предметы!A137</x:f>
      </x:c>
      <x:c r="C168" s="1">
        <x:f>Предметы!D137</x:f>
      </x:c>
      <x:c r="D168" s="9">
        <x:f>Предметы!J137</x:f>
      </x:c>
      <x:c r="E168" s="10">
        <x:f>Предметы!K137</x:f>
      </x:c>
      <x:c r="F168" s="12">
        <x:f>Предметы!N137</x:f>
      </x:c>
    </x:row>
    <x:row r="169" spans="1:6">
      <x:c r="A169" s="1">
        <x:f>Предметы!B138</x:f>
      </x:c>
      <x:c r="B169" s="1">
        <x:f>Предметы!A138</x:f>
      </x:c>
      <x:c r="C169" s="1">
        <x:f>Предметы!D138</x:f>
      </x:c>
      <x:c r="D169" s="9">
        <x:f>Предметы!J138</x:f>
      </x:c>
      <x:c r="E169" s="10">
        <x:f>Предметы!K138</x:f>
      </x:c>
      <x:c r="F169" s="12">
        <x:f>Предметы!N138</x:f>
      </x:c>
    </x:row>
    <x:row r="170" spans="1:6">
      <x:c r="A170" s="1">
        <x:f>Предметы!B139</x:f>
      </x:c>
      <x:c r="B170" s="1">
        <x:f>Предметы!A139</x:f>
      </x:c>
      <x:c r="C170" s="1">
        <x:f>Предметы!D139</x:f>
      </x:c>
      <x:c r="D170" s="9">
        <x:f>Предметы!J139</x:f>
      </x:c>
      <x:c r="E170" s="10">
        <x:f>Предметы!K139</x:f>
      </x:c>
      <x:c r="F170" s="12">
        <x:f>Предметы!N139</x:f>
      </x:c>
    </x:row>
    <x:row r="173" spans="1:6">
      <x:c r="A173" s="2" t="s">
        <x:v>466</x:v>
      </x:c>
      <x:c r="B173" s="14" t="s">
        <x:v>708</x:v>
      </x:c>
      <x:c r="C173" s="15">
        <x:f>Категории!C10</x:f>
      </x:c>
      <x:c r="D173" s="1">
        <x:f>"предметов: "&amp;Категории!D10</x:f>
      </x:c>
    </x:row>
    <x:row r="174" spans="1:6">
      <x:c r="A174" s="16" t="s">
        <x:v>26</x:v>
      </x:c>
      <x:c r="B174" s="16" t="s">
        <x:v>709</x:v>
      </x:c>
      <x:c r="C174" s="16" t="s">
        <x:v>17</x:v>
      </x:c>
      <x:c r="D174" s="16" t="s">
        <x:v>33</x:v>
      </x:c>
      <x:c r="E174" s="16" t="s">
        <x:v>34</x:v>
      </x:c>
      <x:c r="F174" s="16" t="s">
        <x:v>710</x:v>
      </x:c>
    </x:row>
    <x:row r="175" spans="1:6">
      <x:c r="A175" s="1">
        <x:f>Предметы!B140</x:f>
      </x:c>
      <x:c r="B175" s="1">
        <x:f>Предметы!A140</x:f>
      </x:c>
      <x:c r="C175" s="1">
        <x:f>Предметы!D140</x:f>
      </x:c>
      <x:c r="D175" s="9">
        <x:f>Предметы!J140</x:f>
      </x:c>
      <x:c r="E175" s="10">
        <x:f>Предметы!K140</x:f>
      </x:c>
      <x:c r="F175" s="12">
        <x:f>Предметы!N140</x:f>
      </x:c>
    </x:row>
    <x:row r="176" spans="1:6">
      <x:c r="A176" s="1">
        <x:f>Предметы!B141</x:f>
      </x:c>
      <x:c r="B176" s="1">
        <x:f>Предметы!A141</x:f>
      </x:c>
      <x:c r="C176" s="1">
        <x:f>Предметы!D141</x:f>
      </x:c>
      <x:c r="D176" s="9">
        <x:f>Предметы!J141</x:f>
      </x:c>
      <x:c r="E176" s="10">
        <x:f>Предметы!K141</x:f>
      </x:c>
      <x:c r="F176" s="12">
        <x:f>Предметы!N141</x:f>
      </x:c>
    </x:row>
    <x:row r="177" spans="1:6">
      <x:c r="A177" s="1">
        <x:f>Предметы!B142</x:f>
      </x:c>
      <x:c r="B177" s="1">
        <x:f>Предметы!A142</x:f>
      </x:c>
      <x:c r="C177" s="1">
        <x:f>Предметы!D142</x:f>
      </x:c>
      <x:c r="D177" s="9">
        <x:f>Предметы!J142</x:f>
      </x:c>
      <x:c r="E177" s="10">
        <x:f>Предметы!K142</x:f>
      </x:c>
      <x:c r="F177" s="12">
        <x:f>Предметы!N142</x:f>
      </x:c>
    </x:row>
    <x:row r="178" spans="1:6">
      <x:c r="A178" s="1">
        <x:f>Предметы!B143</x:f>
      </x:c>
      <x:c r="B178" s="1">
        <x:f>Предметы!A143</x:f>
      </x:c>
      <x:c r="C178" s="1">
        <x:f>Предметы!D143</x:f>
      </x:c>
      <x:c r="D178" s="9">
        <x:f>Предметы!J143</x:f>
      </x:c>
      <x:c r="E178" s="10">
        <x:f>Предметы!K143</x:f>
      </x:c>
      <x:c r="F178" s="12">
        <x:f>Предметы!N143</x:f>
      </x:c>
    </x:row>
    <x:row r="179" spans="1:6">
      <x:c r="A179" s="1">
        <x:f>Предметы!B144</x:f>
      </x:c>
      <x:c r="B179" s="1">
        <x:f>Предметы!A144</x:f>
      </x:c>
      <x:c r="C179" s="1">
        <x:f>Предметы!D144</x:f>
      </x:c>
      <x:c r="D179" s="9">
        <x:f>Предметы!J144</x:f>
      </x:c>
      <x:c r="E179" s="10">
        <x:f>Предметы!K144</x:f>
      </x:c>
      <x:c r="F179" s="12">
        <x:f>Предметы!N144</x:f>
      </x:c>
    </x:row>
    <x:row r="180" spans="1:6">
      <x:c r="A180" s="1">
        <x:f>Предметы!B145</x:f>
      </x:c>
      <x:c r="B180" s="1">
        <x:f>Предметы!A145</x:f>
      </x:c>
      <x:c r="C180" s="1">
        <x:f>Предметы!D145</x:f>
      </x:c>
      <x:c r="D180" s="9">
        <x:f>Предметы!J145</x:f>
      </x:c>
      <x:c r="E180" s="10">
        <x:f>Предметы!K145</x:f>
      </x:c>
      <x:c r="F180" s="12">
        <x:f>Предметы!N145</x:f>
      </x:c>
    </x:row>
    <x:row r="181" spans="1:6">
      <x:c r="A181" s="1">
        <x:f>Предметы!B146</x:f>
      </x:c>
      <x:c r="B181" s="1">
        <x:f>Предметы!A146</x:f>
      </x:c>
      <x:c r="C181" s="1">
        <x:f>Предметы!D146</x:f>
      </x:c>
      <x:c r="D181" s="9">
        <x:f>Предметы!J146</x:f>
      </x:c>
      <x:c r="E181" s="10">
        <x:f>Предметы!K146</x:f>
      </x:c>
      <x:c r="F181" s="12">
        <x:f>Предметы!N146</x:f>
      </x:c>
    </x:row>
    <x:row r="182" spans="1:6">
      <x:c r="A182" s="1">
        <x:f>Предметы!B147</x:f>
      </x:c>
      <x:c r="B182" s="1">
        <x:f>Предметы!A147</x:f>
      </x:c>
      <x:c r="C182" s="1">
        <x:f>Предметы!D147</x:f>
      </x:c>
      <x:c r="D182" s="9">
        <x:f>Предметы!J147</x:f>
      </x:c>
      <x:c r="E182" s="10">
        <x:f>Предметы!K147</x:f>
      </x:c>
      <x:c r="F182" s="12">
        <x:f>Предметы!N147</x:f>
      </x:c>
    </x:row>
    <x:row r="183" spans="1:6">
      <x:c r="A183" s="1">
        <x:f>Предметы!B148</x:f>
      </x:c>
      <x:c r="B183" s="1">
        <x:f>Предметы!A148</x:f>
      </x:c>
      <x:c r="C183" s="1">
        <x:f>Предметы!D148</x:f>
      </x:c>
      <x:c r="D183" s="9">
        <x:f>Предметы!J148</x:f>
      </x:c>
      <x:c r="E183" s="10">
        <x:f>Предметы!K148</x:f>
      </x:c>
      <x:c r="F183" s="12">
        <x:f>Предметы!N148</x:f>
      </x:c>
    </x:row>
    <x:row r="184" spans="1:6">
      <x:c r="A184" s="1">
        <x:f>Предметы!B149</x:f>
      </x:c>
      <x:c r="B184" s="1">
        <x:f>Предметы!A149</x:f>
      </x:c>
      <x:c r="C184" s="1">
        <x:f>Предметы!D149</x:f>
      </x:c>
      <x:c r="D184" s="9">
        <x:f>Предметы!J149</x:f>
      </x:c>
      <x:c r="E184" s="10">
        <x:f>Предметы!K149</x:f>
      </x:c>
      <x:c r="F184" s="12">
        <x:f>Предметы!N149</x:f>
      </x:c>
    </x:row>
    <x:row r="185" spans="1:6">
      <x:c r="A185" s="1">
        <x:f>Предметы!B150</x:f>
      </x:c>
      <x:c r="B185" s="1">
        <x:f>Предметы!A150</x:f>
      </x:c>
      <x:c r="C185" s="1">
        <x:f>Предметы!D150</x:f>
      </x:c>
      <x:c r="D185" s="9">
        <x:f>Предметы!J150</x:f>
      </x:c>
      <x:c r="E185" s="10">
        <x:f>Предметы!K150</x:f>
      </x:c>
      <x:c r="F185" s="12">
        <x:f>Предметы!N150</x:f>
      </x:c>
    </x:row>
    <x:row r="186" spans="1:6">
      <x:c r="A186" s="1">
        <x:f>Предметы!B151</x:f>
      </x:c>
      <x:c r="B186" s="1">
        <x:f>Предметы!A151</x:f>
      </x:c>
      <x:c r="C186" s="1">
        <x:f>Предметы!D151</x:f>
      </x:c>
      <x:c r="D186" s="9">
        <x:f>Предметы!J151</x:f>
      </x:c>
      <x:c r="E186" s="10">
        <x:f>Предметы!K151</x:f>
      </x:c>
      <x:c r="F186" s="12">
        <x:f>Предметы!N151</x:f>
      </x:c>
    </x:row>
    <x:row r="187" spans="1:6">
      <x:c r="A187" s="1">
        <x:f>Предметы!B152</x:f>
      </x:c>
      <x:c r="B187" s="1">
        <x:f>Предметы!A152</x:f>
      </x:c>
      <x:c r="C187" s="1">
        <x:f>Предметы!D152</x:f>
      </x:c>
      <x:c r="D187" s="9">
        <x:f>Предметы!J152</x:f>
      </x:c>
      <x:c r="E187" s="10">
        <x:f>Предметы!K152</x:f>
      </x:c>
      <x:c r="F187" s="12">
        <x:f>Предметы!N152</x:f>
      </x:c>
    </x:row>
    <x:row r="188" spans="1:6">
      <x:c r="A188" s="1">
        <x:f>Предметы!B153</x:f>
      </x:c>
      <x:c r="B188" s="1">
        <x:f>Предметы!A153</x:f>
      </x:c>
      <x:c r="C188" s="1">
        <x:f>Предметы!D153</x:f>
      </x:c>
      <x:c r="D188" s="9">
        <x:f>Предметы!J153</x:f>
      </x:c>
      <x:c r="E188" s="10">
        <x:f>Предметы!K153</x:f>
      </x:c>
      <x:c r="F188" s="12">
        <x:f>Предметы!N153</x:f>
      </x:c>
    </x:row>
    <x:row r="189" spans="1:6">
      <x:c r="A189" s="1">
        <x:f>Предметы!B154</x:f>
      </x:c>
      <x:c r="B189" s="1">
        <x:f>Предметы!A154</x:f>
      </x:c>
      <x:c r="C189" s="1">
        <x:f>Предметы!D154</x:f>
      </x:c>
      <x:c r="D189" s="9">
        <x:f>Предметы!J154</x:f>
      </x:c>
      <x:c r="E189" s="10">
        <x:f>Предметы!K154</x:f>
      </x:c>
      <x:c r="F189" s="12">
        <x:f>Предметы!N154</x:f>
      </x:c>
    </x:row>
    <x:row r="190" spans="1:6">
      <x:c r="A190" s="1">
        <x:f>Предметы!B155</x:f>
      </x:c>
      <x:c r="B190" s="1">
        <x:f>Предметы!A155</x:f>
      </x:c>
      <x:c r="C190" s="1">
        <x:f>Предметы!D155</x:f>
      </x:c>
      <x:c r="D190" s="9">
        <x:f>Предметы!J155</x:f>
      </x:c>
      <x:c r="E190" s="10">
        <x:f>Предметы!K155</x:f>
      </x:c>
      <x:c r="F190" s="12">
        <x:f>Предметы!N155</x:f>
      </x:c>
    </x:row>
    <x:row r="191" spans="1:6">
      <x:c r="A191" s="1">
        <x:f>Предметы!B156</x:f>
      </x:c>
      <x:c r="B191" s="1">
        <x:f>Предметы!A156</x:f>
      </x:c>
      <x:c r="C191" s="1">
        <x:f>Предметы!D156</x:f>
      </x:c>
      <x:c r="D191" s="9">
        <x:f>Предметы!J156</x:f>
      </x:c>
      <x:c r="E191" s="10">
        <x:f>Предметы!K156</x:f>
      </x:c>
      <x:c r="F191" s="12">
        <x:f>Предметы!N156</x:f>
      </x:c>
    </x:row>
    <x:row r="192" spans="1:6">
      <x:c r="A192" s="1">
        <x:f>Предметы!B157</x:f>
      </x:c>
      <x:c r="B192" s="1">
        <x:f>Предметы!A157</x:f>
      </x:c>
      <x:c r="C192" s="1">
        <x:f>Предметы!D157</x:f>
      </x:c>
      <x:c r="D192" s="9">
        <x:f>Предметы!J157</x:f>
      </x:c>
      <x:c r="E192" s="10">
        <x:f>Предметы!K157</x:f>
      </x:c>
      <x:c r="F192" s="12">
        <x:f>Предметы!N157</x:f>
      </x:c>
    </x:row>
    <x:row r="193" spans="1:6">
      <x:c r="A193" s="1">
        <x:f>Предметы!B158</x:f>
      </x:c>
      <x:c r="B193" s="1">
        <x:f>Предметы!A158</x:f>
      </x:c>
      <x:c r="C193" s="1">
        <x:f>Предметы!D158</x:f>
      </x:c>
      <x:c r="D193" s="9">
        <x:f>Предметы!J158</x:f>
      </x:c>
      <x:c r="E193" s="10">
        <x:f>Предметы!K158</x:f>
      </x:c>
      <x:c r="F193" s="12">
        <x:f>Предметы!N158</x:f>
      </x:c>
    </x:row>
    <x:row r="194" spans="1:6">
      <x:c r="A194" s="1">
        <x:f>Предметы!B159</x:f>
      </x:c>
      <x:c r="B194" s="1">
        <x:f>Предметы!A159</x:f>
      </x:c>
      <x:c r="C194" s="1">
        <x:f>Предметы!D159</x:f>
      </x:c>
      <x:c r="D194" s="9">
        <x:f>Предметы!J159</x:f>
      </x:c>
      <x:c r="E194" s="10">
        <x:f>Предметы!K159</x:f>
      </x:c>
      <x:c r="F194" s="12">
        <x:f>Предметы!N159</x:f>
      </x:c>
    </x:row>
    <x:row r="195" spans="1:6">
      <x:c r="A195" s="1">
        <x:f>Предметы!B160</x:f>
      </x:c>
      <x:c r="B195" s="1">
        <x:f>Предметы!A160</x:f>
      </x:c>
      <x:c r="C195" s="1">
        <x:f>Предметы!D160</x:f>
      </x:c>
      <x:c r="D195" s="9">
        <x:f>Предметы!J160</x:f>
      </x:c>
      <x:c r="E195" s="10">
        <x:f>Предметы!K160</x:f>
      </x:c>
      <x:c r="F195" s="12">
        <x:f>Предметы!N160</x:f>
      </x:c>
    </x:row>
    <x:row r="196" spans="1:6">
      <x:c r="A196" s="1">
        <x:f>Предметы!B161</x:f>
      </x:c>
      <x:c r="B196" s="1">
        <x:f>Предметы!A161</x:f>
      </x:c>
      <x:c r="C196" s="1">
        <x:f>Предметы!D161</x:f>
      </x:c>
      <x:c r="D196" s="9">
        <x:f>Предметы!J161</x:f>
      </x:c>
      <x:c r="E196" s="10">
        <x:f>Предметы!K161</x:f>
      </x:c>
      <x:c r="F196" s="12">
        <x:f>Предметы!N161</x:f>
      </x:c>
    </x:row>
    <x:row r="197" spans="1:6">
      <x:c r="A197" s="1">
        <x:f>Предметы!B162</x:f>
      </x:c>
      <x:c r="B197" s="1">
        <x:f>Предметы!A162</x:f>
      </x:c>
      <x:c r="C197" s="1">
        <x:f>Предметы!D162</x:f>
      </x:c>
      <x:c r="D197" s="9">
        <x:f>Предметы!J162</x:f>
      </x:c>
      <x:c r="E197" s="10">
        <x:f>Предметы!K162</x:f>
      </x:c>
      <x:c r="F197" s="12">
        <x:f>Предметы!N162</x:f>
      </x:c>
    </x:row>
    <x:row r="198" spans="1:6">
      <x:c r="A198" s="1">
        <x:f>Предметы!B163</x:f>
      </x:c>
      <x:c r="B198" s="1">
        <x:f>Предметы!A163</x:f>
      </x:c>
      <x:c r="C198" s="1">
        <x:f>Предметы!D163</x:f>
      </x:c>
      <x:c r="D198" s="9">
        <x:f>Предметы!J163</x:f>
      </x:c>
      <x:c r="E198" s="10">
        <x:f>Предметы!K163</x:f>
      </x:c>
      <x:c r="F198" s="12">
        <x:f>Предметы!N163</x:f>
      </x:c>
    </x:row>
    <x:row r="199" spans="1:6">
      <x:c r="A199" s="1">
        <x:f>Предметы!B164</x:f>
      </x:c>
      <x:c r="B199" s="1">
        <x:f>Предметы!A164</x:f>
      </x:c>
      <x:c r="C199" s="1">
        <x:f>Предметы!D164</x:f>
      </x:c>
      <x:c r="D199" s="9">
        <x:f>Предметы!J164</x:f>
      </x:c>
      <x:c r="E199" s="10">
        <x:f>Предметы!K164</x:f>
      </x:c>
      <x:c r="F199" s="12">
        <x:f>Предметы!N164</x:f>
      </x:c>
    </x:row>
    <x:row r="200" spans="1:6">
      <x:c r="A200" s="1">
        <x:f>Предметы!B165</x:f>
      </x:c>
      <x:c r="B200" s="1">
        <x:f>Предметы!A165</x:f>
      </x:c>
      <x:c r="C200" s="1">
        <x:f>Предметы!D165</x:f>
      </x:c>
      <x:c r="D200" s="9">
        <x:f>Предметы!J165</x:f>
      </x:c>
      <x:c r="E200" s="10">
        <x:f>Предметы!K165</x:f>
      </x:c>
      <x:c r="F200" s="12">
        <x:f>Предметы!N165</x:f>
      </x:c>
    </x:row>
    <x:row r="201" spans="1:6">
      <x:c r="A201" s="1">
        <x:f>Предметы!B166</x:f>
      </x:c>
      <x:c r="B201" s="1">
        <x:f>Предметы!A166</x:f>
      </x:c>
      <x:c r="C201" s="1">
        <x:f>Предметы!D166</x:f>
      </x:c>
      <x:c r="D201" s="9">
        <x:f>Предметы!J166</x:f>
      </x:c>
      <x:c r="E201" s="10">
        <x:f>Предметы!K166</x:f>
      </x:c>
      <x:c r="F201" s="12">
        <x:f>Предметы!N166</x:f>
      </x:c>
    </x:row>
    <x:row r="202" spans="1:6">
      <x:c r="A202" s="1">
        <x:f>Предметы!B167</x:f>
      </x:c>
      <x:c r="B202" s="1">
        <x:f>Предметы!A167</x:f>
      </x:c>
      <x:c r="C202" s="1">
        <x:f>Предметы!D167</x:f>
      </x:c>
      <x:c r="D202" s="9">
        <x:f>Предметы!J167</x:f>
      </x:c>
      <x:c r="E202" s="10">
        <x:f>Предметы!K167</x:f>
      </x:c>
      <x:c r="F202" s="12">
        <x:f>Предметы!N167</x:f>
      </x:c>
    </x:row>
    <x:row r="203" spans="1:6">
      <x:c r="A203" s="1">
        <x:f>Предметы!B168</x:f>
      </x:c>
      <x:c r="B203" s="1">
        <x:f>Предметы!A168</x:f>
      </x:c>
      <x:c r="C203" s="1">
        <x:f>Предметы!D168</x:f>
      </x:c>
      <x:c r="D203" s="9">
        <x:f>Предметы!J168</x:f>
      </x:c>
      <x:c r="E203" s="10">
        <x:f>Предметы!K168</x:f>
      </x:c>
      <x:c r="F203" s="12">
        <x:f>Предметы!N168</x:f>
      </x:c>
    </x:row>
    <x:row r="204" spans="1:6">
      <x:c r="A204" s="1">
        <x:f>Предметы!B169</x:f>
      </x:c>
      <x:c r="B204" s="1">
        <x:f>Предметы!A169</x:f>
      </x:c>
      <x:c r="C204" s="1">
        <x:f>Предметы!D169</x:f>
      </x:c>
      <x:c r="D204" s="9">
        <x:f>Предметы!J169</x:f>
      </x:c>
      <x:c r="E204" s="10">
        <x:f>Предметы!K169</x:f>
      </x:c>
      <x:c r="F204" s="12">
        <x:f>Предметы!N169</x:f>
      </x:c>
    </x:row>
    <x:row r="205" spans="1:6">
      <x:c r="A205" s="1">
        <x:f>Предметы!B170</x:f>
      </x:c>
      <x:c r="B205" s="1">
        <x:f>Предметы!A170</x:f>
      </x:c>
      <x:c r="C205" s="1">
        <x:f>Предметы!D170</x:f>
      </x:c>
      <x:c r="D205" s="9">
        <x:f>Предметы!J170</x:f>
      </x:c>
      <x:c r="E205" s="10">
        <x:f>Предметы!K170</x:f>
      </x:c>
      <x:c r="F205" s="12">
        <x:f>Предметы!N170</x:f>
      </x:c>
    </x:row>
    <x:row r="206" spans="1:6">
      <x:c r="A206" s="1">
        <x:f>Предметы!B171</x:f>
      </x:c>
      <x:c r="B206" s="1">
        <x:f>Предметы!A171</x:f>
      </x:c>
      <x:c r="C206" s="1">
        <x:f>Предметы!D171</x:f>
      </x:c>
      <x:c r="D206" s="9">
        <x:f>Предметы!J171</x:f>
      </x:c>
      <x:c r="E206" s="10">
        <x:f>Предметы!K171</x:f>
      </x:c>
      <x:c r="F206" s="12">
        <x:f>Предметы!N171</x:f>
      </x:c>
    </x:row>
    <x:row r="207" spans="1:6">
      <x:c r="A207" s="1">
        <x:f>Предметы!B172</x:f>
      </x:c>
      <x:c r="B207" s="1">
        <x:f>Предметы!A172</x:f>
      </x:c>
      <x:c r="C207" s="1">
        <x:f>Предметы!D172</x:f>
      </x:c>
      <x:c r="D207" s="9">
        <x:f>Предметы!J172</x:f>
      </x:c>
      <x:c r="E207" s="10">
        <x:f>Предметы!K172</x:f>
      </x:c>
      <x:c r="F207" s="12">
        <x:f>Предметы!N172</x:f>
      </x:c>
    </x:row>
    <x:row r="208" spans="1:6">
      <x:c r="A208" s="1">
        <x:f>Предметы!B173</x:f>
      </x:c>
      <x:c r="B208" s="1">
        <x:f>Предметы!A173</x:f>
      </x:c>
      <x:c r="C208" s="1">
        <x:f>Предметы!D173</x:f>
      </x:c>
      <x:c r="D208" s="9">
        <x:f>Предметы!J173</x:f>
      </x:c>
      <x:c r="E208" s="10">
        <x:f>Предметы!K173</x:f>
      </x:c>
      <x:c r="F208" s="12">
        <x:f>Предметы!N173</x:f>
      </x:c>
    </x:row>
    <x:row r="209" spans="1:6">
      <x:c r="A209" s="1">
        <x:f>Предметы!B174</x:f>
      </x:c>
      <x:c r="B209" s="1">
        <x:f>Предметы!A174</x:f>
      </x:c>
      <x:c r="C209" s="1">
        <x:f>Предметы!D174</x:f>
      </x:c>
      <x:c r="D209" s="9">
        <x:f>Предметы!J174</x:f>
      </x:c>
      <x:c r="E209" s="10">
        <x:f>Предметы!K174</x:f>
      </x:c>
      <x:c r="F209" s="12">
        <x:f>Предметы!N174</x:f>
      </x:c>
    </x:row>
  </x:sheetData>
  <x:conditionalFormatting sqref="C5:C23">
    <x:cfRule type="cellIs" dxfId="0" priority="1" operator="equal">
      <x:formula>"Частый"</x:formula>
    </x:cfRule>
    <x:cfRule type="cellIs" dxfId="1" priority="2" operator="equal">
      <x:formula>"Обычный"</x:formula>
    </x:cfRule>
    <x:cfRule type="cellIs" dxfId="2" priority="3" operator="equal">
      <x:formula>"Редкий"</x:formula>
    </x:cfRule>
    <x:cfRule type="cellIs" dxfId="3" priority="4" operator="equal">
      <x:formula>"Очень редкий"</x:formula>
    </x:cfRule>
    <x:cfRule type="cellIs" dxfId="4" priority="5" operator="equal">
      <x:formula>"Исключительный"</x:formula>
    </x:cfRule>
  </x:conditionalFormatting>
  <x:conditionalFormatting sqref="C28:C36">
    <x:cfRule type="cellIs" dxfId="0" priority="6" operator="equal">
      <x:formula>"Частый"</x:formula>
    </x:cfRule>
    <x:cfRule type="cellIs" dxfId="1" priority="7" operator="equal">
      <x:formula>"Обычный"</x:formula>
    </x:cfRule>
    <x:cfRule type="cellIs" dxfId="2" priority="8" operator="equal">
      <x:formula>"Редкий"</x:formula>
    </x:cfRule>
    <x:cfRule type="cellIs" dxfId="3" priority="9" operator="equal">
      <x:formula>"Очень редкий"</x:formula>
    </x:cfRule>
    <x:cfRule type="cellIs" dxfId="4" priority="10" operator="equal">
      <x:formula>"Исключительный"</x:formula>
    </x:cfRule>
  </x:conditionalFormatting>
  <x:conditionalFormatting sqref="C41:C51">
    <x:cfRule type="cellIs" dxfId="0" priority="11" operator="equal">
      <x:formula>"Частый"</x:formula>
    </x:cfRule>
    <x:cfRule type="cellIs" dxfId="1" priority="12" operator="equal">
      <x:formula>"Обычный"</x:formula>
    </x:cfRule>
    <x:cfRule type="cellIs" dxfId="2" priority="13" operator="equal">
      <x:formula>"Редкий"</x:formula>
    </x:cfRule>
    <x:cfRule type="cellIs" dxfId="3" priority="14" operator="equal">
      <x:formula>"Очень редкий"</x:formula>
    </x:cfRule>
    <x:cfRule type="cellIs" dxfId="4" priority="15" operator="equal">
      <x:formula>"Исключительный"</x:formula>
    </x:cfRule>
  </x:conditionalFormatting>
  <x:conditionalFormatting sqref="C56:C70">
    <x:cfRule type="cellIs" dxfId="0" priority="16" operator="equal">
      <x:formula>"Частый"</x:formula>
    </x:cfRule>
    <x:cfRule type="cellIs" dxfId="1" priority="17" operator="equal">
      <x:formula>"Обычный"</x:formula>
    </x:cfRule>
    <x:cfRule type="cellIs" dxfId="2" priority="18" operator="equal">
      <x:formula>"Редкий"</x:formula>
    </x:cfRule>
    <x:cfRule type="cellIs" dxfId="3" priority="19" operator="equal">
      <x:formula>"Очень редкий"</x:formula>
    </x:cfRule>
    <x:cfRule type="cellIs" dxfId="4" priority="20" operator="equal">
      <x:formula>"Исключительный"</x:formula>
    </x:cfRule>
  </x:conditionalFormatting>
  <x:conditionalFormatting sqref="C75:C100">
    <x:cfRule type="cellIs" dxfId="0" priority="21" operator="equal">
      <x:formula>"Частый"</x:formula>
    </x:cfRule>
    <x:cfRule type="cellIs" dxfId="1" priority="22" operator="equal">
      <x:formula>"Обычный"</x:formula>
    </x:cfRule>
    <x:cfRule type="cellIs" dxfId="2" priority="23" operator="equal">
      <x:formula>"Редкий"</x:formula>
    </x:cfRule>
    <x:cfRule type="cellIs" dxfId="3" priority="24" operator="equal">
      <x:formula>"Очень редкий"</x:formula>
    </x:cfRule>
    <x:cfRule type="cellIs" dxfId="4" priority="25" operator="equal">
      <x:formula>"Исключительный"</x:formula>
    </x:cfRule>
  </x:conditionalFormatting>
  <x:conditionalFormatting sqref="C105:C120">
    <x:cfRule type="cellIs" dxfId="0" priority="26" operator="equal">
      <x:formula>"Частый"</x:formula>
    </x:cfRule>
    <x:cfRule type="cellIs" dxfId="1" priority="27" operator="equal">
      <x:formula>"Обычный"</x:formula>
    </x:cfRule>
    <x:cfRule type="cellIs" dxfId="2" priority="28" operator="equal">
      <x:formula>"Редкий"</x:formula>
    </x:cfRule>
    <x:cfRule type="cellIs" dxfId="3" priority="29" operator="equal">
      <x:formula>"Очень редкий"</x:formula>
    </x:cfRule>
    <x:cfRule type="cellIs" dxfId="4" priority="30" operator="equal">
      <x:formula>"Исключительный"</x:formula>
    </x:cfRule>
  </x:conditionalFormatting>
  <x:conditionalFormatting sqref="C125:C132">
    <x:cfRule type="cellIs" dxfId="0" priority="31" operator="equal">
      <x:formula>"Частый"</x:formula>
    </x:cfRule>
    <x:cfRule type="cellIs" dxfId="1" priority="32" operator="equal">
      <x:formula>"Обычный"</x:formula>
    </x:cfRule>
    <x:cfRule type="cellIs" dxfId="2" priority="33" operator="equal">
      <x:formula>"Редкий"</x:formula>
    </x:cfRule>
    <x:cfRule type="cellIs" dxfId="3" priority="34" operator="equal">
      <x:formula>"Очень редкий"</x:formula>
    </x:cfRule>
    <x:cfRule type="cellIs" dxfId="4" priority="35" operator="equal">
      <x:formula>"Исключительный"</x:formula>
    </x:cfRule>
  </x:conditionalFormatting>
  <x:conditionalFormatting sqref="C137:C170">
    <x:cfRule type="cellIs" dxfId="0" priority="36" operator="equal">
      <x:formula>"Частый"</x:formula>
    </x:cfRule>
    <x:cfRule type="cellIs" dxfId="1" priority="37" operator="equal">
      <x:formula>"Обычный"</x:formula>
    </x:cfRule>
    <x:cfRule type="cellIs" dxfId="2" priority="38" operator="equal">
      <x:formula>"Редкий"</x:formula>
    </x:cfRule>
    <x:cfRule type="cellIs" dxfId="3" priority="39" operator="equal">
      <x:formula>"Очень редкий"</x:formula>
    </x:cfRule>
    <x:cfRule type="cellIs" dxfId="4" priority="40" operator="equal">
      <x:formula>"Исключительный"</x:formula>
    </x:cfRule>
  </x:conditionalFormatting>
  <x:conditionalFormatting sqref="C175:C209">
    <x:cfRule type="cellIs" dxfId="0" priority="41" operator="equal">
      <x:formula>"Частый"</x:formula>
    </x:cfRule>
    <x:cfRule type="cellIs" dxfId="1" priority="42" operator="equal">
      <x:formula>"Обычный"</x:formula>
    </x:cfRule>
    <x:cfRule type="cellIs" dxfId="2" priority="43" operator="equal">
      <x:formula>"Редкий"</x:formula>
    </x:cfRule>
    <x:cfRule type="cellIs" dxfId="3" priority="44" operator="equal">
      <x:formula>"Очень редкий"</x:formula>
    </x:cfRule>
    <x:cfRule type="cellIs" dxfId="4" priority="45" operator="equal">
      <x:formula>"Исключительный"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4"/>
  <x:sheetViews>
    <x:sheetView workbookViewId="0">
      <x:pane xSplit="0" ySplit="1" topLeftCell="A2" activePane="bottomLeft" state="frozenSplit"/>
    </x:sheetView>
  </x:sheetViews>
  <x:sheetFormatPr defaultRowHeight="15"/>
  <x:cols>
    <x:col min="15" max="16384" width="9.140625" style="1" customWidth="1"/>
    <x:col min="1" max="1" width="30.710625" style="1" customWidth="1"/>
    <x:col min="2" max="2" width="34.710625" style="1" customWidth="1"/>
    <x:col min="3" max="3" width="28.710625" style="1" customWidth="1"/>
    <x:col min="4" max="5" width="15.710625" style="1" customWidth="1"/>
    <x:col min="6" max="6" width="6.710625" style="1" customWidth="1"/>
    <x:col min="7" max="7" width="11.710625" style="1" customWidth="1"/>
    <x:col min="8" max="8" width="38.710625" style="1" customWidth="1"/>
    <x:col min="9" max="9" width="6.710625" style="1" customWidth="1"/>
    <x:col min="10" max="11" width="10.710625" style="1" customWidth="1"/>
    <x:col min="12" max="13" width="11.710625" style="1" customWidth="1"/>
    <x:col min="14" max="14" width="16.710625" style="1" customWidth="1"/>
  </x:cols>
  <x:sheetData>
    <x:row r="1" spans="1:14" ht="42" customHeight="1">
      <x:c r="A1" s="8" t="s">
        <x:v>26</x:v>
      </x:c>
      <x:c r="B1" s="8" t="s">
        <x:v>27</x:v>
      </x:c>
      <x:c r="C1" s="8" t="s">
        <x:v>28</x:v>
      </x:c>
      <x:c r="D1" s="8" t="s">
        <x:v>17</x:v>
      </x:c>
      <x:c r="E1" s="8" t="s">
        <x:v>29</x:v>
      </x:c>
      <x:c r="F1" s="8" t="s">
        <x:v>30</x:v>
      </x:c>
      <x:c r="G1" s="8" t="s">
        <x:v>31</x:v>
      </x:c>
      <x:c r="H1" s="8" t="s">
        <x:v>32</x:v>
      </x:c>
      <x:c r="I1" s="8" t="s">
        <x:v>18</x:v>
      </x:c>
      <x:c r="J1" s="8" t="s">
        <x:v>33</x:v>
      </x:c>
      <x:c r="K1" s="8" t="s">
        <x:v>34</x:v>
      </x:c>
      <x:c r="L1" s="8" t="s">
        <x:v>35</x:v>
      </x:c>
      <x:c r="M1" s="8" t="s">
        <x:v>36</x:v>
      </x:c>
      <x:c r="N1" s="8" t="s">
        <x:v>37</x:v>
      </x:c>
    </x:row>
    <x:row r="2" spans="1:14">
      <x:c r="A2" s="1" t="s">
        <x:v>38</x:v>
      </x:c>
      <x:c r="B2" s="1" t="s">
        <x:v>39</x:v>
      </x:c>
      <x:c r="C2" s="1" t="s">
        <x:v>40</x:v>
      </x:c>
      <x:c r="D2" s="4" t="s">
        <x:v>19</x:v>
      </x:c>
      <x:c r="E2" s="1" t="s">
        <x:v>41</x:v>
      </x:c>
      <x:c r="F2" s="1" t="s">
        <x:v>42</x:v>
      </x:c>
      <x:c r="G2" s="1" t="s">
        <x:v>42</x:v>
      </x:c>
      <x:c r="H2" s="1" t="s">
        <x:v>43</x:v>
      </x:c>
      <x:c r="I2" s="6">
        <x:f>IFERROR(INDEX(Уровни!$B$2:$B$7,MATCH(D2,Уровни!$A$2:$A$7,0)),0)</x:f>
      </x:c>
      <x:c r="J2" s="9">
        <x:f>IF(I2=0,0,I2/SUMIFS($I$2:$I$174,$C$2:$C$174,C2))</x:f>
      </x:c>
      <x:c r="K2" s="10">
        <x:f>J2*IFERROR(INDEX(Категории!$C$2:$C$20,MATCH(C2,Категории!$A$2:$A$20,0)),0)*IF(AND(Параметры!$B$9="да",G2="да"),0,1)</x:f>
      </x:c>
      <x:c r="L2" s="11">
        <x:f>IF(K2=0,"—",1/K2)</x:f>
      </x:c>
      <x:c r="M2" s="11">
        <x:f>IF(K2=0,"—",1/(K2*Параметры!$B$3))</x:f>
      </x:c>
      <x:c r="N2" s="12">
        <x:f>IF(K2=0,"—",1/(K2*Параметры!$B$8))</x:f>
      </x:c>
    </x:row>
    <x:row r="3" spans="1:14">
      <x:c r="A3" s="1" t="s">
        <x:v>44</x:v>
      </x:c>
      <x:c r="B3" s="1" t="s">
        <x:v>45</x:v>
      </x:c>
      <x:c r="C3" s="1" t="s">
        <x:v>40</x:v>
      </x:c>
      <x:c r="D3" s="4" t="s">
        <x:v>19</x:v>
      </x:c>
      <x:c r="E3" s="1" t="s">
        <x:v>41</x:v>
      </x:c>
      <x:c r="F3" s="1" t="s">
        <x:v>42</x:v>
      </x:c>
      <x:c r="G3" s="1" t="s">
        <x:v>42</x:v>
      </x:c>
      <x:c r="H3" s="1" t="s">
        <x:v>46</x:v>
      </x:c>
      <x:c r="I3" s="6">
        <x:f>IFERROR(INDEX(Уровни!$B$2:$B$7,MATCH(D3,Уровни!$A$2:$A$7,0)),0)</x:f>
      </x:c>
      <x:c r="J3" s="9">
        <x:f>IF(I3=0,0,I3/SUMIFS($I$2:$I$174,$C$2:$C$174,C3))</x:f>
      </x:c>
      <x:c r="K3" s="10">
        <x:f>J3*IFERROR(INDEX(Категории!$C$2:$C$20,MATCH(C3,Категории!$A$2:$A$20,0)),0)*IF(AND(Параметры!$B$9="да",G3="да"),0,1)</x:f>
      </x:c>
      <x:c r="L3" s="11">
        <x:f>IF(K3=0,"—",1/K3)</x:f>
      </x:c>
      <x:c r="M3" s="11">
        <x:f>IF(K3=0,"—",1/(K3*Параметры!$B$3))</x:f>
      </x:c>
      <x:c r="N3" s="12">
        <x:f>IF(K3=0,"—",1/(K3*Параметры!$B$8))</x:f>
      </x:c>
    </x:row>
    <x:row r="4" spans="1:14">
      <x:c r="A4" s="1" t="s">
        <x:v>47</x:v>
      </x:c>
      <x:c r="B4" s="1" t="s">
        <x:v>48</x:v>
      </x:c>
      <x:c r="C4" s="1" t="s">
        <x:v>40</x:v>
      </x:c>
      <x:c r="D4" s="4" t="s">
        <x:v>20</x:v>
      </x:c>
      <x:c r="E4" s="1" t="s">
        <x:v>41</x:v>
      </x:c>
      <x:c r="F4" s="1" t="s">
        <x:v>42</x:v>
      </x:c>
      <x:c r="G4" s="1" t="s">
        <x:v>42</x:v>
      </x:c>
      <x:c r="H4" s="1" t="s">
        <x:v>49</x:v>
      </x:c>
      <x:c r="I4" s="6">
        <x:f>IFERROR(INDEX(Уровни!$B$2:$B$7,MATCH(D4,Уровни!$A$2:$A$7,0)),0)</x:f>
      </x:c>
      <x:c r="J4" s="9">
        <x:f>IF(I4=0,0,I4/SUMIFS($I$2:$I$174,$C$2:$C$174,C4))</x:f>
      </x:c>
      <x:c r="K4" s="10">
        <x:f>J4*IFERROR(INDEX(Категории!$C$2:$C$20,MATCH(C4,Категории!$A$2:$A$20,0)),0)*IF(AND(Параметры!$B$9="да",G4="да"),0,1)</x:f>
      </x:c>
      <x:c r="L4" s="11">
        <x:f>IF(K4=0,"—",1/K4)</x:f>
      </x:c>
      <x:c r="M4" s="11">
        <x:f>IF(K4=0,"—",1/(K4*Параметры!$B$3))</x:f>
      </x:c>
      <x:c r="N4" s="12">
        <x:f>IF(K4=0,"—",1/(K4*Параметры!$B$8))</x:f>
      </x:c>
    </x:row>
    <x:row r="5" spans="1:14">
      <x:c r="A5" s="1" t="s">
        <x:v>50</x:v>
      </x:c>
      <x:c r="B5" s="1" t="s">
        <x:v>51</x:v>
      </x:c>
      <x:c r="C5" s="1" t="s">
        <x:v>40</x:v>
      </x:c>
      <x:c r="D5" s="4" t="s">
        <x:v>20</x:v>
      </x:c>
      <x:c r="E5" s="1" t="s">
        <x:v>41</x:v>
      </x:c>
      <x:c r="F5" s="1" t="s">
        <x:v>42</x:v>
      </x:c>
      <x:c r="G5" s="1" t="s">
        <x:v>42</x:v>
      </x:c>
      <x:c r="H5" s="1" t="s">
        <x:v>52</x:v>
      </x:c>
      <x:c r="I5" s="6">
        <x:f>IFERROR(INDEX(Уровни!$B$2:$B$7,MATCH(D5,Уровни!$A$2:$A$7,0)),0)</x:f>
      </x:c>
      <x:c r="J5" s="9">
        <x:f>IF(I5=0,0,I5/SUMIFS($I$2:$I$174,$C$2:$C$174,C5))</x:f>
      </x:c>
      <x:c r="K5" s="10">
        <x:f>J5*IFERROR(INDEX(Категории!$C$2:$C$20,MATCH(C5,Категории!$A$2:$A$20,0)),0)*IF(AND(Параметры!$B$9="да",G5="да"),0,1)</x:f>
      </x:c>
      <x:c r="L5" s="11">
        <x:f>IF(K5=0,"—",1/K5)</x:f>
      </x:c>
      <x:c r="M5" s="11">
        <x:f>IF(K5=0,"—",1/(K5*Параметры!$B$3))</x:f>
      </x:c>
      <x:c r="N5" s="12">
        <x:f>IF(K5=0,"—",1/(K5*Параметры!$B$8))</x:f>
      </x:c>
    </x:row>
    <x:row r="6" spans="1:14">
      <x:c r="A6" s="1" t="s">
        <x:v>53</x:v>
      </x:c>
      <x:c r="B6" s="1" t="s">
        <x:v>54</x:v>
      </x:c>
      <x:c r="C6" s="1" t="s">
        <x:v>40</x:v>
      </x:c>
      <x:c r="D6" s="4" t="s">
        <x:v>20</x:v>
      </x:c>
      <x:c r="E6" s="1" t="s">
        <x:v>41</x:v>
      </x:c>
      <x:c r="F6" s="1" t="s">
        <x:v>42</x:v>
      </x:c>
      <x:c r="G6" s="1" t="s">
        <x:v>42</x:v>
      </x:c>
      <x:c r="H6" s="1" t="s">
        <x:v>55</x:v>
      </x:c>
      <x:c r="I6" s="6">
        <x:f>IFERROR(INDEX(Уровни!$B$2:$B$7,MATCH(D6,Уровни!$A$2:$A$7,0)),0)</x:f>
      </x:c>
      <x:c r="J6" s="9">
        <x:f>IF(I6=0,0,I6/SUMIFS($I$2:$I$174,$C$2:$C$174,C6))</x:f>
      </x:c>
      <x:c r="K6" s="10">
        <x:f>J6*IFERROR(INDEX(Категории!$C$2:$C$20,MATCH(C6,Категории!$A$2:$A$20,0)),0)*IF(AND(Параметры!$B$9="да",G6="да"),0,1)</x:f>
      </x:c>
      <x:c r="L6" s="11">
        <x:f>IF(K6=0,"—",1/K6)</x:f>
      </x:c>
      <x:c r="M6" s="11">
        <x:f>IF(K6=0,"—",1/(K6*Параметры!$B$3))</x:f>
      </x:c>
      <x:c r="N6" s="12">
        <x:f>IF(K6=0,"—",1/(K6*Параметры!$B$8))</x:f>
      </x:c>
    </x:row>
    <x:row r="7" spans="1:14">
      <x:c r="A7" s="1" t="s">
        <x:v>56</x:v>
      </x:c>
      <x:c r="B7" s="1" t="s">
        <x:v>57</x:v>
      </x:c>
      <x:c r="C7" s="1" t="s">
        <x:v>40</x:v>
      </x:c>
      <x:c r="D7" s="4" t="s">
        <x:v>20</x:v>
      </x:c>
      <x:c r="E7" s="1" t="s">
        <x:v>41</x:v>
      </x:c>
      <x:c r="F7" s="1" t="s">
        <x:v>42</x:v>
      </x:c>
      <x:c r="G7" s="1" t="s">
        <x:v>42</x:v>
      </x:c>
      <x:c r="H7" s="1" t="s">
        <x:v>58</x:v>
      </x:c>
      <x:c r="I7" s="6">
        <x:f>IFERROR(INDEX(Уровни!$B$2:$B$7,MATCH(D7,Уровни!$A$2:$A$7,0)),0)</x:f>
      </x:c>
      <x:c r="J7" s="9">
        <x:f>IF(I7=0,0,I7/SUMIFS($I$2:$I$174,$C$2:$C$174,C7))</x:f>
      </x:c>
      <x:c r="K7" s="10">
        <x:f>J7*IFERROR(INDEX(Категории!$C$2:$C$20,MATCH(C7,Категории!$A$2:$A$20,0)),0)*IF(AND(Параметры!$B$9="да",G7="да"),0,1)</x:f>
      </x:c>
      <x:c r="L7" s="11">
        <x:f>IF(K7=0,"—",1/K7)</x:f>
      </x:c>
      <x:c r="M7" s="11">
        <x:f>IF(K7=0,"—",1/(K7*Параметры!$B$3))</x:f>
      </x:c>
      <x:c r="N7" s="12">
        <x:f>IF(K7=0,"—",1/(K7*Параметры!$B$8))</x:f>
      </x:c>
    </x:row>
    <x:row r="8" spans="1:14">
      <x:c r="A8" s="1" t="s">
        <x:v>59</x:v>
      </x:c>
      <x:c r="B8" s="1" t="s">
        <x:v>60</x:v>
      </x:c>
      <x:c r="C8" s="1" t="s">
        <x:v>40</x:v>
      </x:c>
      <x:c r="D8" s="4" t="s">
        <x:v>20</x:v>
      </x:c>
      <x:c r="E8" s="1" t="s">
        <x:v>41</x:v>
      </x:c>
      <x:c r="F8" s="1" t="s">
        <x:v>42</x:v>
      </x:c>
      <x:c r="G8" s="1" t="s">
        <x:v>42</x:v>
      </x:c>
      <x:c r="H8" s="1" t="s">
        <x:v>61</x:v>
      </x:c>
      <x:c r="I8" s="6">
        <x:f>IFERROR(INDEX(Уровни!$B$2:$B$7,MATCH(D8,Уровни!$A$2:$A$7,0)),0)</x:f>
      </x:c>
      <x:c r="J8" s="9">
        <x:f>IF(I8=0,0,I8/SUMIFS($I$2:$I$174,$C$2:$C$174,C8))</x:f>
      </x:c>
      <x:c r="K8" s="10">
        <x:f>J8*IFERROR(INDEX(Категории!$C$2:$C$20,MATCH(C8,Категории!$A$2:$A$20,0)),0)*IF(AND(Параметры!$B$9="да",G8="да"),0,1)</x:f>
      </x:c>
      <x:c r="L8" s="11">
        <x:f>IF(K8=0,"—",1/K8)</x:f>
      </x:c>
      <x:c r="M8" s="11">
        <x:f>IF(K8=0,"—",1/(K8*Параметры!$B$3))</x:f>
      </x:c>
      <x:c r="N8" s="12">
        <x:f>IF(K8=0,"—",1/(K8*Параметры!$B$8))</x:f>
      </x:c>
    </x:row>
    <x:row r="9" spans="1:14">
      <x:c r="A9" s="1" t="s">
        <x:v>62</x:v>
      </x:c>
      <x:c r="B9" s="1" t="s">
        <x:v>63</x:v>
      </x:c>
      <x:c r="C9" s="1" t="s">
        <x:v>40</x:v>
      </x:c>
      <x:c r="D9" s="4" t="s">
        <x:v>20</x:v>
      </x:c>
      <x:c r="E9" s="1" t="s">
        <x:v>41</x:v>
      </x:c>
      <x:c r="F9" s="1" t="s">
        <x:v>64</x:v>
      </x:c>
      <x:c r="G9" s="1" t="s">
        <x:v>42</x:v>
      </x:c>
      <x:c r="H9" s="1" t="s">
        <x:v>65</x:v>
      </x:c>
      <x:c r="I9" s="6">
        <x:f>IFERROR(INDEX(Уровни!$B$2:$B$7,MATCH(D9,Уровни!$A$2:$A$7,0)),0)</x:f>
      </x:c>
      <x:c r="J9" s="9">
        <x:f>IF(I9=0,0,I9/SUMIFS($I$2:$I$174,$C$2:$C$174,C9))</x:f>
      </x:c>
      <x:c r="K9" s="10">
        <x:f>J9*IFERROR(INDEX(Категории!$C$2:$C$20,MATCH(C9,Категории!$A$2:$A$20,0)),0)*IF(AND(Параметры!$B$9="да",G9="да"),0,1)</x:f>
      </x:c>
      <x:c r="L9" s="11">
        <x:f>IF(K9=0,"—",1/K9)</x:f>
      </x:c>
      <x:c r="M9" s="11">
        <x:f>IF(K9=0,"—",1/(K9*Параметры!$B$3))</x:f>
      </x:c>
      <x:c r="N9" s="12">
        <x:f>IF(K9=0,"—",1/(K9*Параметры!$B$8))</x:f>
      </x:c>
    </x:row>
    <x:row r="10" spans="1:14">
      <x:c r="A10" s="1" t="s">
        <x:v>66</x:v>
      </x:c>
      <x:c r="B10" s="1" t="s">
        <x:v>67</x:v>
      </x:c>
      <x:c r="C10" s="1" t="s">
        <x:v>40</x:v>
      </x:c>
      <x:c r="D10" s="4" t="s">
        <x:v>20</x:v>
      </x:c>
      <x:c r="E10" s="1" t="s">
        <x:v>41</x:v>
      </x:c>
      <x:c r="F10" s="1" t="s">
        <x:v>42</x:v>
      </x:c>
      <x:c r="G10" s="1" t="s">
        <x:v>42</x:v>
      </x:c>
      <x:c r="H10" s="1" t="s">
        <x:v>68</x:v>
      </x:c>
      <x:c r="I10" s="6">
        <x:f>IFERROR(INDEX(Уровни!$B$2:$B$7,MATCH(D10,Уровни!$A$2:$A$7,0)),0)</x:f>
      </x:c>
      <x:c r="J10" s="9">
        <x:f>IF(I10=0,0,I10/SUMIFS($I$2:$I$174,$C$2:$C$174,C10))</x:f>
      </x:c>
      <x:c r="K10" s="10">
        <x:f>J10*IFERROR(INDEX(Категории!$C$2:$C$20,MATCH(C10,Категории!$A$2:$A$20,0)),0)*IF(AND(Параметры!$B$9="да",G10="да"),0,1)</x:f>
      </x:c>
      <x:c r="L10" s="11">
        <x:f>IF(K10=0,"—",1/K10)</x:f>
      </x:c>
      <x:c r="M10" s="11">
        <x:f>IF(K10=0,"—",1/(K10*Параметры!$B$3))</x:f>
      </x:c>
      <x:c r="N10" s="12">
        <x:f>IF(K10=0,"—",1/(K10*Параметры!$B$8))</x:f>
      </x:c>
    </x:row>
    <x:row r="11" spans="1:14">
      <x:c r="A11" s="1" t="s">
        <x:v>69</x:v>
      </x:c>
      <x:c r="B11" s="1" t="s">
        <x:v>70</x:v>
      </x:c>
      <x:c r="C11" s="1" t="s">
        <x:v>40</x:v>
      </x:c>
      <x:c r="D11" s="4" t="s">
        <x:v>20</x:v>
      </x:c>
      <x:c r="E11" s="1" t="s">
        <x:v>71</x:v>
      </x:c>
      <x:c r="F11" s="1" t="s">
        <x:v>42</x:v>
      </x:c>
      <x:c r="G11" s="1" t="s">
        <x:v>42</x:v>
      </x:c>
      <x:c r="H11" s="1" t="s">
        <x:v>72</x:v>
      </x:c>
      <x:c r="I11" s="6">
        <x:f>IFERROR(INDEX(Уровни!$B$2:$B$7,MATCH(D11,Уровни!$A$2:$A$7,0)),0)</x:f>
      </x:c>
      <x:c r="J11" s="9">
        <x:f>IF(I11=0,0,I11/SUMIFS($I$2:$I$174,$C$2:$C$174,C11))</x:f>
      </x:c>
      <x:c r="K11" s="10">
        <x:f>J11*IFERROR(INDEX(Категории!$C$2:$C$20,MATCH(C11,Категории!$A$2:$A$20,0)),0)*IF(AND(Параметры!$B$9="да",G11="да"),0,1)</x:f>
      </x:c>
      <x:c r="L11" s="11">
        <x:f>IF(K11=0,"—",1/K11)</x:f>
      </x:c>
      <x:c r="M11" s="11">
        <x:f>IF(K11=0,"—",1/(K11*Параметры!$B$3))</x:f>
      </x:c>
      <x:c r="N11" s="12">
        <x:f>IF(K11=0,"—",1/(K11*Параметры!$B$8))</x:f>
      </x:c>
    </x:row>
    <x:row r="12" spans="1:14">
      <x:c r="A12" s="1" t="s">
        <x:v>73</x:v>
      </x:c>
      <x:c r="B12" s="1" t="s">
        <x:v>74</x:v>
      </x:c>
      <x:c r="C12" s="1" t="s">
        <x:v>40</x:v>
      </x:c>
      <x:c r="D12" s="4" t="s">
        <x:v>21</x:v>
      </x:c>
      <x:c r="E12" s="1" t="s">
        <x:v>41</x:v>
      </x:c>
      <x:c r="F12" s="1" t="s">
        <x:v>42</x:v>
      </x:c>
      <x:c r="G12" s="1" t="s">
        <x:v>42</x:v>
      </x:c>
      <x:c r="H12" s="1" t="s">
        <x:v>75</x:v>
      </x:c>
      <x:c r="I12" s="6">
        <x:f>IFERROR(INDEX(Уровни!$B$2:$B$7,MATCH(D12,Уровни!$A$2:$A$7,0)),0)</x:f>
      </x:c>
      <x:c r="J12" s="9">
        <x:f>IF(I12=0,0,I12/SUMIFS($I$2:$I$174,$C$2:$C$174,C12))</x:f>
      </x:c>
      <x:c r="K12" s="10">
        <x:f>J12*IFERROR(INDEX(Категории!$C$2:$C$20,MATCH(C12,Категории!$A$2:$A$20,0)),0)*IF(AND(Параметры!$B$9="да",G12="да"),0,1)</x:f>
      </x:c>
      <x:c r="L12" s="11">
        <x:f>IF(K12=0,"—",1/K12)</x:f>
      </x:c>
      <x:c r="M12" s="11">
        <x:f>IF(K12=0,"—",1/(K12*Параметры!$B$3))</x:f>
      </x:c>
      <x:c r="N12" s="12">
        <x:f>IF(K12=0,"—",1/(K12*Параметры!$B$8))</x:f>
      </x:c>
    </x:row>
    <x:row r="13" spans="1:14">
      <x:c r="A13" s="1" t="s">
        <x:v>76</x:v>
      </x:c>
      <x:c r="B13" s="1" t="s">
        <x:v>77</x:v>
      </x:c>
      <x:c r="C13" s="1" t="s">
        <x:v>40</x:v>
      </x:c>
      <x:c r="D13" s="4" t="s">
        <x:v>21</x:v>
      </x:c>
      <x:c r="E13" s="1" t="s">
        <x:v>41</x:v>
      </x:c>
      <x:c r="F13" s="1" t="s">
        <x:v>64</x:v>
      </x:c>
      <x:c r="G13" s="1" t="s">
        <x:v>42</x:v>
      </x:c>
      <x:c r="H13" s="1" t="s">
        <x:v>78</x:v>
      </x:c>
      <x:c r="I13" s="6">
        <x:f>IFERROR(INDEX(Уровни!$B$2:$B$7,MATCH(D13,Уровни!$A$2:$A$7,0)),0)</x:f>
      </x:c>
      <x:c r="J13" s="9">
        <x:f>IF(I13=0,0,I13/SUMIFS($I$2:$I$174,$C$2:$C$174,C13))</x:f>
      </x:c>
      <x:c r="K13" s="10">
        <x:f>J13*IFERROR(INDEX(Категории!$C$2:$C$20,MATCH(C13,Категории!$A$2:$A$20,0)),0)*IF(AND(Параметры!$B$9="да",G13="да"),0,1)</x:f>
      </x:c>
      <x:c r="L13" s="11">
        <x:f>IF(K13=0,"—",1/K13)</x:f>
      </x:c>
      <x:c r="M13" s="11">
        <x:f>IF(K13=0,"—",1/(K13*Параметры!$B$3))</x:f>
      </x:c>
      <x:c r="N13" s="12">
        <x:f>IF(K13=0,"—",1/(K13*Параметры!$B$8))</x:f>
      </x:c>
    </x:row>
    <x:row r="14" spans="1:14">
      <x:c r="A14" s="1" t="s">
        <x:v>79</x:v>
      </x:c>
      <x:c r="B14" s="1" t="s">
        <x:v>80</x:v>
      </x:c>
      <x:c r="C14" s="1" t="s">
        <x:v>40</x:v>
      </x:c>
      <x:c r="D14" s="4" t="s">
        <x:v>21</x:v>
      </x:c>
      <x:c r="E14" s="1" t="s">
        <x:v>41</x:v>
      </x:c>
      <x:c r="F14" s="1" t="s">
        <x:v>64</x:v>
      </x:c>
      <x:c r="G14" s="1" t="s">
        <x:v>42</x:v>
      </x:c>
      <x:c r="H14" s="1" t="s">
        <x:v>81</x:v>
      </x:c>
      <x:c r="I14" s="6">
        <x:f>IFERROR(INDEX(Уровни!$B$2:$B$7,MATCH(D14,Уровни!$A$2:$A$7,0)),0)</x:f>
      </x:c>
      <x:c r="J14" s="9">
        <x:f>IF(I14=0,0,I14/SUMIFS($I$2:$I$174,$C$2:$C$174,C14))</x:f>
      </x:c>
      <x:c r="K14" s="10">
        <x:f>J14*IFERROR(INDEX(Категории!$C$2:$C$20,MATCH(C14,Категории!$A$2:$A$20,0)),0)*IF(AND(Параметры!$B$9="да",G14="да"),0,1)</x:f>
      </x:c>
      <x:c r="L14" s="11">
        <x:f>IF(K14=0,"—",1/K14)</x:f>
      </x:c>
      <x:c r="M14" s="11">
        <x:f>IF(K14=0,"—",1/(K14*Параметры!$B$3))</x:f>
      </x:c>
      <x:c r="N14" s="12">
        <x:f>IF(K14=0,"—",1/(K14*Параметры!$B$8))</x:f>
      </x:c>
    </x:row>
    <x:row r="15" spans="1:14">
      <x:c r="A15" s="1" t="s">
        <x:v>82</x:v>
      </x:c>
      <x:c r="B15" s="1" t="s">
        <x:v>83</x:v>
      </x:c>
      <x:c r="C15" s="1" t="s">
        <x:v>40</x:v>
      </x:c>
      <x:c r="D15" s="4" t="s">
        <x:v>21</x:v>
      </x:c>
      <x:c r="E15" s="1" t="s">
        <x:v>41</x:v>
      </x:c>
      <x:c r="F15" s="1" t="s">
        <x:v>42</x:v>
      </x:c>
      <x:c r="G15" s="1" t="s">
        <x:v>42</x:v>
      </x:c>
      <x:c r="H15" s="1" t="s">
        <x:v>84</x:v>
      </x:c>
      <x:c r="I15" s="6">
        <x:f>IFERROR(INDEX(Уровни!$B$2:$B$7,MATCH(D15,Уровни!$A$2:$A$7,0)),0)</x:f>
      </x:c>
      <x:c r="J15" s="9">
        <x:f>IF(I15=0,0,I15/SUMIFS($I$2:$I$174,$C$2:$C$174,C15))</x:f>
      </x:c>
      <x:c r="K15" s="10">
        <x:f>J15*IFERROR(INDEX(Категории!$C$2:$C$20,MATCH(C15,Категории!$A$2:$A$20,0)),0)*IF(AND(Параметры!$B$9="да",G15="да"),0,1)</x:f>
      </x:c>
      <x:c r="L15" s="11">
        <x:f>IF(K15=0,"—",1/K15)</x:f>
      </x:c>
      <x:c r="M15" s="11">
        <x:f>IF(K15=0,"—",1/(K15*Параметры!$B$3))</x:f>
      </x:c>
      <x:c r="N15" s="12">
        <x:f>IF(K15=0,"—",1/(K15*Параметры!$B$8))</x:f>
      </x:c>
    </x:row>
    <x:row r="16" spans="1:14">
      <x:c r="A16" s="1" t="s">
        <x:v>85</x:v>
      </x:c>
      <x:c r="B16" s="1" t="s">
        <x:v>86</x:v>
      </x:c>
      <x:c r="C16" s="1" t="s">
        <x:v>40</x:v>
      </x:c>
      <x:c r="D16" s="4" t="s">
        <x:v>21</x:v>
      </x:c>
      <x:c r="E16" s="1" t="s">
        <x:v>71</x:v>
      </x:c>
      <x:c r="F16" s="1" t="s">
        <x:v>42</x:v>
      </x:c>
      <x:c r="G16" s="1" t="s">
        <x:v>42</x:v>
      </x:c>
      <x:c r="H16" s="1" t="s">
        <x:v>87</x:v>
      </x:c>
      <x:c r="I16" s="6">
        <x:f>IFERROR(INDEX(Уровни!$B$2:$B$7,MATCH(D16,Уровни!$A$2:$A$7,0)),0)</x:f>
      </x:c>
      <x:c r="J16" s="9">
        <x:f>IF(I16=0,0,I16/SUMIFS($I$2:$I$174,$C$2:$C$174,C16))</x:f>
      </x:c>
      <x:c r="K16" s="10">
        <x:f>J16*IFERROR(INDEX(Категории!$C$2:$C$20,MATCH(C16,Категории!$A$2:$A$20,0)),0)*IF(AND(Параметры!$B$9="да",G16="да"),0,1)</x:f>
      </x:c>
      <x:c r="L16" s="11">
        <x:f>IF(K16=0,"—",1/K16)</x:f>
      </x:c>
      <x:c r="M16" s="11">
        <x:f>IF(K16=0,"—",1/(K16*Параметры!$B$3))</x:f>
      </x:c>
      <x:c r="N16" s="12">
        <x:f>IF(K16=0,"—",1/(K16*Параметры!$B$8))</x:f>
      </x:c>
    </x:row>
    <x:row r="17" spans="1:14">
      <x:c r="A17" s="1" t="s">
        <x:v>88</x:v>
      </x:c>
      <x:c r="B17" s="1" t="s">
        <x:v>89</x:v>
      </x:c>
      <x:c r="C17" s="1" t="s">
        <x:v>40</x:v>
      </x:c>
      <x:c r="D17" s="4" t="s">
        <x:v>21</x:v>
      </x:c>
      <x:c r="E17" s="1" t="s">
        <x:v>71</x:v>
      </x:c>
      <x:c r="F17" s="1" t="s">
        <x:v>42</x:v>
      </x:c>
      <x:c r="G17" s="1" t="s">
        <x:v>42</x:v>
      </x:c>
      <x:c r="H17" s="1" t="s">
        <x:v>90</x:v>
      </x:c>
      <x:c r="I17" s="6">
        <x:f>IFERROR(INDEX(Уровни!$B$2:$B$7,MATCH(D17,Уровни!$A$2:$A$7,0)),0)</x:f>
      </x:c>
      <x:c r="J17" s="9">
        <x:f>IF(I17=0,0,I17/SUMIFS($I$2:$I$174,$C$2:$C$174,C17))</x:f>
      </x:c>
      <x:c r="K17" s="10">
        <x:f>J17*IFERROR(INDEX(Категории!$C$2:$C$20,MATCH(C17,Категории!$A$2:$A$20,0)),0)*IF(AND(Параметры!$B$9="да",G17="да"),0,1)</x:f>
      </x:c>
      <x:c r="L17" s="11">
        <x:f>IF(K17=0,"—",1/K17)</x:f>
      </x:c>
      <x:c r="M17" s="11">
        <x:f>IF(K17=0,"—",1/(K17*Параметры!$B$3))</x:f>
      </x:c>
      <x:c r="N17" s="12">
        <x:f>IF(K17=0,"—",1/(K17*Параметры!$B$8))</x:f>
      </x:c>
    </x:row>
    <x:row r="18" spans="1:14">
      <x:c r="A18" s="1" t="s">
        <x:v>91</x:v>
      </x:c>
      <x:c r="B18" s="1" t="s">
        <x:v>92</x:v>
      </x:c>
      <x:c r="C18" s="1" t="s">
        <x:v>40</x:v>
      </x:c>
      <x:c r="D18" s="4" t="s">
        <x:v>21</x:v>
      </x:c>
      <x:c r="E18" s="1" t="s">
        <x:v>71</x:v>
      </x:c>
      <x:c r="F18" s="1" t="s">
        <x:v>64</x:v>
      </x:c>
      <x:c r="G18" s="1" t="s">
        <x:v>42</x:v>
      </x:c>
      <x:c r="H18" s="1" t="s">
        <x:v>93</x:v>
      </x:c>
      <x:c r="I18" s="6">
        <x:f>IFERROR(INDEX(Уровни!$B$2:$B$7,MATCH(D18,Уровни!$A$2:$A$7,0)),0)</x:f>
      </x:c>
      <x:c r="J18" s="9">
        <x:f>IF(I18=0,0,I18/SUMIFS($I$2:$I$174,$C$2:$C$174,C18))</x:f>
      </x:c>
      <x:c r="K18" s="10">
        <x:f>J18*IFERROR(INDEX(Категории!$C$2:$C$20,MATCH(C18,Категории!$A$2:$A$20,0)),0)*IF(AND(Параметры!$B$9="да",G18="да"),0,1)</x:f>
      </x:c>
      <x:c r="L18" s="11">
        <x:f>IF(K18=0,"—",1/K18)</x:f>
      </x:c>
      <x:c r="M18" s="11">
        <x:f>IF(K18=0,"—",1/(K18*Параметры!$B$3))</x:f>
      </x:c>
      <x:c r="N18" s="12">
        <x:f>IF(K18=0,"—",1/(K18*Параметры!$B$8))</x:f>
      </x:c>
    </x:row>
    <x:row r="19" spans="1:14">
      <x:c r="A19" s="1" t="s">
        <x:v>94</x:v>
      </x:c>
      <x:c r="B19" s="1" t="s">
        <x:v>95</x:v>
      </x:c>
      <x:c r="C19" s="1" t="s">
        <x:v>40</x:v>
      </x:c>
      <x:c r="D19" s="4" t="s">
        <x:v>23</x:v>
      </x:c>
      <x:c r="E19" s="1" t="s">
        <x:v>41</x:v>
      </x:c>
      <x:c r="F19" s="1" t="s">
        <x:v>42</x:v>
      </x:c>
      <x:c r="G19" s="1" t="s">
        <x:v>42</x:v>
      </x:c>
      <x:c r="H19" s="1" t="s">
        <x:v>96</x:v>
      </x:c>
      <x:c r="I19" s="6">
        <x:f>IFERROR(INDEX(Уровни!$B$2:$B$7,MATCH(D19,Уровни!$A$2:$A$7,0)),0)</x:f>
      </x:c>
      <x:c r="J19" s="9">
        <x:f>IF(I19=0,0,I19/SUMIFS($I$2:$I$174,$C$2:$C$174,C19))</x:f>
      </x:c>
      <x:c r="K19" s="10">
        <x:f>J19*IFERROR(INDEX(Категории!$C$2:$C$20,MATCH(C19,Категории!$A$2:$A$20,0)),0)*IF(AND(Параметры!$B$9="да",G19="да"),0,1)</x:f>
      </x:c>
      <x:c r="L19" s="11">
        <x:f>IF(K19=0,"—",1/K19)</x:f>
      </x:c>
      <x:c r="M19" s="11">
        <x:f>IF(K19=0,"—",1/(K19*Параметры!$B$3))</x:f>
      </x:c>
      <x:c r="N19" s="12">
        <x:f>IF(K19=0,"—",1/(K19*Параметры!$B$8))</x:f>
      </x:c>
    </x:row>
    <x:row r="20" spans="1:14">
      <x:c r="A20" s="1" t="s">
        <x:v>97</x:v>
      </x:c>
      <x:c r="B20" s="1" t="s">
        <x:v>98</x:v>
      </x:c>
      <x:c r="C20" s="1" t="s">
        <x:v>40</x:v>
      </x:c>
      <x:c r="D20" s="4" t="s">
        <x:v>23</x:v>
      </x:c>
      <x:c r="E20" s="1" t="s">
        <x:v>71</x:v>
      </x:c>
      <x:c r="F20" s="1" t="s">
        <x:v>42</x:v>
      </x:c>
      <x:c r="G20" s="1" t="s">
        <x:v>42</x:v>
      </x:c>
      <x:c r="H20" s="1" t="s">
        <x:v>99</x:v>
      </x:c>
      <x:c r="I20" s="6">
        <x:f>IFERROR(INDEX(Уровни!$B$2:$B$7,MATCH(D20,Уровни!$A$2:$A$7,0)),0)</x:f>
      </x:c>
      <x:c r="J20" s="9">
        <x:f>IF(I20=0,0,I20/SUMIFS($I$2:$I$174,$C$2:$C$174,C20))</x:f>
      </x:c>
      <x:c r="K20" s="10">
        <x:f>J20*IFERROR(INDEX(Категории!$C$2:$C$20,MATCH(C20,Категории!$A$2:$A$20,0)),0)*IF(AND(Параметры!$B$9="да",G20="да"),0,1)</x:f>
      </x:c>
      <x:c r="L20" s="11">
        <x:f>IF(K20=0,"—",1/K20)</x:f>
      </x:c>
      <x:c r="M20" s="11">
        <x:f>IF(K20=0,"—",1/(K20*Параметры!$B$3))</x:f>
      </x:c>
      <x:c r="N20" s="12">
        <x:f>IF(K20=0,"—",1/(K20*Параметры!$B$8))</x:f>
      </x:c>
    </x:row>
    <x:row r="21" spans="1:14">
      <x:c r="A21" s="1" t="s">
        <x:v>100</x:v>
      </x:c>
      <x:c r="B21" s="1" t="s">
        <x:v>101</x:v>
      </x:c>
      <x:c r="C21" s="1" t="s">
        <x:v>102</x:v>
      </x:c>
      <x:c r="D21" s="4" t="s">
        <x:v>20</x:v>
      </x:c>
      <x:c r="E21" s="1" t="s">
        <x:v>41</x:v>
      </x:c>
      <x:c r="F21" s="1" t="s">
        <x:v>42</x:v>
      </x:c>
      <x:c r="G21" s="1" t="s">
        <x:v>42</x:v>
      </x:c>
      <x:c r="H21" s="1" t="s">
        <x:v>103</x:v>
      </x:c>
      <x:c r="I21" s="6">
        <x:f>IFERROR(INDEX(Уровни!$B$2:$B$7,MATCH(D21,Уровни!$A$2:$A$7,0)),0)</x:f>
      </x:c>
      <x:c r="J21" s="9">
        <x:f>IF(I21=0,0,I21/SUMIFS($I$2:$I$174,$C$2:$C$174,C21))</x:f>
      </x:c>
      <x:c r="K21" s="10">
        <x:f>J21*IFERROR(INDEX(Категории!$C$2:$C$20,MATCH(C21,Категории!$A$2:$A$20,0)),0)*IF(AND(Параметры!$B$9="да",G21="да"),0,1)</x:f>
      </x:c>
      <x:c r="L21" s="11">
        <x:f>IF(K21=0,"—",1/K21)</x:f>
      </x:c>
      <x:c r="M21" s="11">
        <x:f>IF(K21=0,"—",1/(K21*Параметры!$B$3))</x:f>
      </x:c>
      <x:c r="N21" s="12">
        <x:f>IF(K21=0,"—",1/(K21*Параметры!$B$8))</x:f>
      </x:c>
    </x:row>
    <x:row r="22" spans="1:14">
      <x:c r="A22" s="1" t="s">
        <x:v>104</x:v>
      </x:c>
      <x:c r="B22" s="1" t="s">
        <x:v>105</x:v>
      </x:c>
      <x:c r="C22" s="1" t="s">
        <x:v>102</x:v>
      </x:c>
      <x:c r="D22" s="4" t="s">
        <x:v>20</x:v>
      </x:c>
      <x:c r="E22" s="1" t="s">
        <x:v>41</x:v>
      </x:c>
      <x:c r="F22" s="1" t="s">
        <x:v>42</x:v>
      </x:c>
      <x:c r="G22" s="1" t="s">
        <x:v>42</x:v>
      </x:c>
      <x:c r="H22" s="1" t="s">
        <x:v>106</x:v>
      </x:c>
      <x:c r="I22" s="6">
        <x:f>IFERROR(INDEX(Уровни!$B$2:$B$7,MATCH(D22,Уровни!$A$2:$A$7,0)),0)</x:f>
      </x:c>
      <x:c r="J22" s="9">
        <x:f>IF(I22=0,0,I22/SUMIFS($I$2:$I$174,$C$2:$C$174,C22))</x:f>
      </x:c>
      <x:c r="K22" s="10">
        <x:f>J22*IFERROR(INDEX(Категории!$C$2:$C$20,MATCH(C22,Категории!$A$2:$A$20,0)),0)*IF(AND(Параметры!$B$9="да",G22="да"),0,1)</x:f>
      </x:c>
      <x:c r="L22" s="11">
        <x:f>IF(K22=0,"—",1/K22)</x:f>
      </x:c>
      <x:c r="M22" s="11">
        <x:f>IF(K22=0,"—",1/(K22*Параметры!$B$3))</x:f>
      </x:c>
      <x:c r="N22" s="12">
        <x:f>IF(K22=0,"—",1/(K22*Параметры!$B$8))</x:f>
      </x:c>
    </x:row>
    <x:row r="23" spans="1:14">
      <x:c r="A23" s="1" t="s">
        <x:v>107</x:v>
      </x:c>
      <x:c r="B23" s="1" t="s">
        <x:v>108</x:v>
      </x:c>
      <x:c r="C23" s="1" t="s">
        <x:v>102</x:v>
      </x:c>
      <x:c r="D23" s="4" t="s">
        <x:v>20</x:v>
      </x:c>
      <x:c r="E23" s="1" t="s">
        <x:v>41</x:v>
      </x:c>
      <x:c r="F23" s="1" t="s">
        <x:v>42</x:v>
      </x:c>
      <x:c r="G23" s="1" t="s">
        <x:v>42</x:v>
      </x:c>
      <x:c r="H23" s="1" t="s">
        <x:v>109</x:v>
      </x:c>
      <x:c r="I23" s="6">
        <x:f>IFERROR(INDEX(Уровни!$B$2:$B$7,MATCH(D23,Уровни!$A$2:$A$7,0)),0)</x:f>
      </x:c>
      <x:c r="J23" s="9">
        <x:f>IF(I23=0,0,I23/SUMIFS($I$2:$I$174,$C$2:$C$174,C23))</x:f>
      </x:c>
      <x:c r="K23" s="10">
        <x:f>J23*IFERROR(INDEX(Категории!$C$2:$C$20,MATCH(C23,Категории!$A$2:$A$20,0)),0)*IF(AND(Параметры!$B$9="да",G23="да"),0,1)</x:f>
      </x:c>
      <x:c r="L23" s="11">
        <x:f>IF(K23=0,"—",1/K23)</x:f>
      </x:c>
      <x:c r="M23" s="11">
        <x:f>IF(K23=0,"—",1/(K23*Параметры!$B$3))</x:f>
      </x:c>
      <x:c r="N23" s="12">
        <x:f>IF(K23=0,"—",1/(K23*Параметры!$B$8))</x:f>
      </x:c>
    </x:row>
    <x:row r="24" spans="1:14">
      <x:c r="A24" s="1" t="s">
        <x:v>110</x:v>
      </x:c>
      <x:c r="B24" s="1" t="s">
        <x:v>111</x:v>
      </x:c>
      <x:c r="C24" s="1" t="s">
        <x:v>102</x:v>
      </x:c>
      <x:c r="D24" s="4" t="s">
        <x:v>21</x:v>
      </x:c>
      <x:c r="E24" s="1" t="s">
        <x:v>41</x:v>
      </x:c>
      <x:c r="F24" s="1" t="s">
        <x:v>42</x:v>
      </x:c>
      <x:c r="G24" s="1" t="s">
        <x:v>42</x:v>
      </x:c>
      <x:c r="H24" s="1" t="s">
        <x:v>112</x:v>
      </x:c>
      <x:c r="I24" s="6">
        <x:f>IFERROR(INDEX(Уровни!$B$2:$B$7,MATCH(D24,Уровни!$A$2:$A$7,0)),0)</x:f>
      </x:c>
      <x:c r="J24" s="9">
        <x:f>IF(I24=0,0,I24/SUMIFS($I$2:$I$174,$C$2:$C$174,C24))</x:f>
      </x:c>
      <x:c r="K24" s="10">
        <x:f>J24*IFERROR(INDEX(Категории!$C$2:$C$20,MATCH(C24,Категории!$A$2:$A$20,0)),0)*IF(AND(Параметры!$B$9="да",G24="да"),0,1)</x:f>
      </x:c>
      <x:c r="L24" s="11">
        <x:f>IF(K24=0,"—",1/K24)</x:f>
      </x:c>
      <x:c r="M24" s="11">
        <x:f>IF(K24=0,"—",1/(K24*Параметры!$B$3))</x:f>
      </x:c>
      <x:c r="N24" s="12">
        <x:f>IF(K24=0,"—",1/(K24*Параметры!$B$8))</x:f>
      </x:c>
    </x:row>
    <x:row r="25" spans="1:14">
      <x:c r="A25" s="1" t="s">
        <x:v>113</x:v>
      </x:c>
      <x:c r="B25" s="1" t="s">
        <x:v>114</x:v>
      </x:c>
      <x:c r="C25" s="1" t="s">
        <x:v>102</x:v>
      </x:c>
      <x:c r="D25" s="4" t="s">
        <x:v>21</x:v>
      </x:c>
      <x:c r="E25" s="1" t="s">
        <x:v>41</x:v>
      </x:c>
      <x:c r="F25" s="1" t="s">
        <x:v>42</x:v>
      </x:c>
      <x:c r="G25" s="1" t="s">
        <x:v>42</x:v>
      </x:c>
      <x:c r="H25" s="1" t="s">
        <x:v>115</x:v>
      </x:c>
      <x:c r="I25" s="6">
        <x:f>IFERROR(INDEX(Уровни!$B$2:$B$7,MATCH(D25,Уровни!$A$2:$A$7,0)),0)</x:f>
      </x:c>
      <x:c r="J25" s="9">
        <x:f>IF(I25=0,0,I25/SUMIFS($I$2:$I$174,$C$2:$C$174,C25))</x:f>
      </x:c>
      <x:c r="K25" s="10">
        <x:f>J25*IFERROR(INDEX(Категории!$C$2:$C$20,MATCH(C25,Категории!$A$2:$A$20,0)),0)*IF(AND(Параметры!$B$9="да",G25="да"),0,1)</x:f>
      </x:c>
      <x:c r="L25" s="11">
        <x:f>IF(K25=0,"—",1/K25)</x:f>
      </x:c>
      <x:c r="M25" s="11">
        <x:f>IF(K25=0,"—",1/(K25*Параметры!$B$3))</x:f>
      </x:c>
      <x:c r="N25" s="12">
        <x:f>IF(K25=0,"—",1/(K25*Параметры!$B$8))</x:f>
      </x:c>
    </x:row>
    <x:row r="26" spans="1:14">
      <x:c r="A26" s="1" t="s">
        <x:v>116</x:v>
      </x:c>
      <x:c r="B26" s="1" t="s">
        <x:v>117</x:v>
      </x:c>
      <x:c r="C26" s="1" t="s">
        <x:v>102</x:v>
      </x:c>
      <x:c r="D26" s="4" t="s">
        <x:v>22</x:v>
      </x:c>
      <x:c r="E26" s="1" t="s">
        <x:v>71</x:v>
      </x:c>
      <x:c r="F26" s="1" t="s">
        <x:v>42</x:v>
      </x:c>
      <x:c r="G26" s="1" t="s">
        <x:v>42</x:v>
      </x:c>
      <x:c r="H26" s="1" t="s">
        <x:v>118</x:v>
      </x:c>
      <x:c r="I26" s="6">
        <x:f>IFERROR(INDEX(Уровни!$B$2:$B$7,MATCH(D26,Уровни!$A$2:$A$7,0)),0)</x:f>
      </x:c>
      <x:c r="J26" s="9">
        <x:f>IF(I26=0,0,I26/SUMIFS($I$2:$I$174,$C$2:$C$174,C26))</x:f>
      </x:c>
      <x:c r="K26" s="10">
        <x:f>J26*IFERROR(INDEX(Категории!$C$2:$C$20,MATCH(C26,Категории!$A$2:$A$20,0)),0)*IF(AND(Параметры!$B$9="да",G26="да"),0,1)</x:f>
      </x:c>
      <x:c r="L26" s="11">
        <x:f>IF(K26=0,"—",1/K26)</x:f>
      </x:c>
      <x:c r="M26" s="11">
        <x:f>IF(K26=0,"—",1/(K26*Параметры!$B$3))</x:f>
      </x:c>
      <x:c r="N26" s="12">
        <x:f>IF(K26=0,"—",1/(K26*Параметры!$B$8))</x:f>
      </x:c>
    </x:row>
    <x:row r="27" spans="1:14">
      <x:c r="A27" s="1" t="s">
        <x:v>119</x:v>
      </x:c>
      <x:c r="B27" s="1" t="s">
        <x:v>120</x:v>
      </x:c>
      <x:c r="C27" s="1" t="s">
        <x:v>102</x:v>
      </x:c>
      <x:c r="D27" s="4" t="s">
        <x:v>22</x:v>
      </x:c>
      <x:c r="E27" s="1" t="s">
        <x:v>71</x:v>
      </x:c>
      <x:c r="F27" s="1" t="s">
        <x:v>42</x:v>
      </x:c>
      <x:c r="G27" s="1" t="s">
        <x:v>42</x:v>
      </x:c>
      <x:c r="H27" s="1" t="s">
        <x:v>121</x:v>
      </x:c>
      <x:c r="I27" s="6">
        <x:f>IFERROR(INDEX(Уровни!$B$2:$B$7,MATCH(D27,Уровни!$A$2:$A$7,0)),0)</x:f>
      </x:c>
      <x:c r="J27" s="9">
        <x:f>IF(I27=0,0,I27/SUMIFS($I$2:$I$174,$C$2:$C$174,C27))</x:f>
      </x:c>
      <x:c r="K27" s="10">
        <x:f>J27*IFERROR(INDEX(Категории!$C$2:$C$20,MATCH(C27,Категории!$A$2:$A$20,0)),0)*IF(AND(Параметры!$B$9="да",G27="да"),0,1)</x:f>
      </x:c>
      <x:c r="L27" s="11">
        <x:f>IF(K27=0,"—",1/K27)</x:f>
      </x:c>
      <x:c r="M27" s="11">
        <x:f>IF(K27=0,"—",1/(K27*Параметры!$B$3))</x:f>
      </x:c>
      <x:c r="N27" s="12">
        <x:f>IF(K27=0,"—",1/(K27*Параметры!$B$8))</x:f>
      </x:c>
    </x:row>
    <x:row r="28" spans="1:14">
      <x:c r="A28" s="1" t="s">
        <x:v>122</x:v>
      </x:c>
      <x:c r="B28" s="1" t="s">
        <x:v>123</x:v>
      </x:c>
      <x:c r="C28" s="1" t="s">
        <x:v>102</x:v>
      </x:c>
      <x:c r="D28" s="4" t="s">
        <x:v>22</x:v>
      </x:c>
      <x:c r="E28" s="1" t="s">
        <x:v>71</x:v>
      </x:c>
      <x:c r="F28" s="1" t="s">
        <x:v>42</x:v>
      </x:c>
      <x:c r="G28" s="1" t="s">
        <x:v>42</x:v>
      </x:c>
      <x:c r="H28" s="1" t="s">
        <x:v>124</x:v>
      </x:c>
      <x:c r="I28" s="6">
        <x:f>IFERROR(INDEX(Уровни!$B$2:$B$7,MATCH(D28,Уровни!$A$2:$A$7,0)),0)</x:f>
      </x:c>
      <x:c r="J28" s="9">
        <x:f>IF(I28=0,0,I28/SUMIFS($I$2:$I$174,$C$2:$C$174,C28))</x:f>
      </x:c>
      <x:c r="K28" s="10">
        <x:f>J28*IFERROR(INDEX(Категории!$C$2:$C$20,MATCH(C28,Категории!$A$2:$A$20,0)),0)*IF(AND(Параметры!$B$9="да",G28="да"),0,1)</x:f>
      </x:c>
      <x:c r="L28" s="11">
        <x:f>IF(K28=0,"—",1/K28)</x:f>
      </x:c>
      <x:c r="M28" s="11">
        <x:f>IF(K28=0,"—",1/(K28*Параметры!$B$3))</x:f>
      </x:c>
      <x:c r="N28" s="12">
        <x:f>IF(K28=0,"—",1/(K28*Параметры!$B$8))</x:f>
      </x:c>
    </x:row>
    <x:row r="29" spans="1:14">
      <x:c r="A29" s="1" t="s">
        <x:v>125</x:v>
      </x:c>
      <x:c r="B29" s="1" t="s">
        <x:v>126</x:v>
      </x:c>
      <x:c r="C29" s="1" t="s">
        <x:v>102</x:v>
      </x:c>
      <x:c r="D29" s="4" t="s">
        <x:v>22</x:v>
      </x:c>
      <x:c r="E29" s="1" t="s">
        <x:v>71</x:v>
      </x:c>
      <x:c r="F29" s="1" t="s">
        <x:v>42</x:v>
      </x:c>
      <x:c r="G29" s="1" t="s">
        <x:v>42</x:v>
      </x:c>
      <x:c r="H29" s="1" t="s">
        <x:v>127</x:v>
      </x:c>
      <x:c r="I29" s="6">
        <x:f>IFERROR(INDEX(Уровни!$B$2:$B$7,MATCH(D29,Уровни!$A$2:$A$7,0)),0)</x:f>
      </x:c>
      <x:c r="J29" s="9">
        <x:f>IF(I29=0,0,I29/SUMIFS($I$2:$I$174,$C$2:$C$174,C29))</x:f>
      </x:c>
      <x:c r="K29" s="10">
        <x:f>J29*IFERROR(INDEX(Категории!$C$2:$C$20,MATCH(C29,Категории!$A$2:$A$20,0)),0)*IF(AND(Параметры!$B$9="да",G29="да"),0,1)</x:f>
      </x:c>
      <x:c r="L29" s="11">
        <x:f>IF(K29=0,"—",1/K29)</x:f>
      </x:c>
      <x:c r="M29" s="11">
        <x:f>IF(K29=0,"—",1/(K29*Параметры!$B$3))</x:f>
      </x:c>
      <x:c r="N29" s="12">
        <x:f>IF(K29=0,"—",1/(K29*Параметры!$B$8))</x:f>
      </x:c>
    </x:row>
    <x:row r="30" spans="1:14">
      <x:c r="A30" s="1" t="s">
        <x:v>128</x:v>
      </x:c>
      <x:c r="B30" s="1" t="s">
        <x:v>129</x:v>
      </x:c>
      <x:c r="C30" s="1" t="s">
        <x:v>130</x:v>
      </x:c>
      <x:c r="D30" s="4" t="s">
        <x:v>20</x:v>
      </x:c>
      <x:c r="E30" s="1" t="s">
        <x:v>41</x:v>
      </x:c>
      <x:c r="F30" s="1" t="s">
        <x:v>42</x:v>
      </x:c>
      <x:c r="G30" s="1" t="s">
        <x:v>42</x:v>
      </x:c>
      <x:c r="H30" s="1" t="s">
        <x:v>131</x:v>
      </x:c>
      <x:c r="I30" s="6">
        <x:f>IFERROR(INDEX(Уровни!$B$2:$B$7,MATCH(D30,Уровни!$A$2:$A$7,0)),0)</x:f>
      </x:c>
      <x:c r="J30" s="9">
        <x:f>IF(I30=0,0,I30/SUMIFS($I$2:$I$174,$C$2:$C$174,C30))</x:f>
      </x:c>
      <x:c r="K30" s="10">
        <x:f>J30*IFERROR(INDEX(Категории!$C$2:$C$20,MATCH(C30,Категории!$A$2:$A$20,0)),0)*IF(AND(Параметры!$B$9="да",G30="да"),0,1)</x:f>
      </x:c>
      <x:c r="L30" s="11">
        <x:f>IF(K30=0,"—",1/K30)</x:f>
      </x:c>
      <x:c r="M30" s="11">
        <x:f>IF(K30=0,"—",1/(K30*Параметры!$B$3))</x:f>
      </x:c>
      <x:c r="N30" s="12">
        <x:f>IF(K30=0,"—",1/(K30*Параметры!$B$8))</x:f>
      </x:c>
    </x:row>
    <x:row r="31" spans="1:14">
      <x:c r="A31" s="1" t="s">
        <x:v>132</x:v>
      </x:c>
      <x:c r="B31" s="1" t="s">
        <x:v>133</x:v>
      </x:c>
      <x:c r="C31" s="1" t="s">
        <x:v>130</x:v>
      </x:c>
      <x:c r="D31" s="4" t="s">
        <x:v>20</x:v>
      </x:c>
      <x:c r="E31" s="1" t="s">
        <x:v>41</x:v>
      </x:c>
      <x:c r="F31" s="1" t="s">
        <x:v>42</x:v>
      </x:c>
      <x:c r="G31" s="1" t="s">
        <x:v>64</x:v>
      </x:c>
      <x:c r="H31" s="1" t="s">
        <x:v>134</x:v>
      </x:c>
      <x:c r="I31" s="6">
        <x:f>IFERROR(INDEX(Уровни!$B$2:$B$7,MATCH(D31,Уровни!$A$2:$A$7,0)),0)</x:f>
      </x:c>
      <x:c r="J31" s="9">
        <x:f>IF(I31=0,0,I31/SUMIFS($I$2:$I$174,$C$2:$C$174,C31))</x:f>
      </x:c>
      <x:c r="K31" s="10">
        <x:f>J31*IFERROR(INDEX(Категории!$C$2:$C$20,MATCH(C31,Категории!$A$2:$A$20,0)),0)*IF(AND(Параметры!$B$9="да",G31="да"),0,1)</x:f>
      </x:c>
      <x:c r="L31" s="11">
        <x:f>IF(K31=0,"—",1/K31)</x:f>
      </x:c>
      <x:c r="M31" s="11">
        <x:f>IF(K31=0,"—",1/(K31*Параметры!$B$3))</x:f>
      </x:c>
      <x:c r="N31" s="12">
        <x:f>IF(K31=0,"—",1/(K31*Параметры!$B$8))</x:f>
      </x:c>
    </x:row>
    <x:row r="32" spans="1:14">
      <x:c r="A32" s="1" t="s">
        <x:v>135</x:v>
      </x:c>
      <x:c r="B32" s="1" t="s">
        <x:v>136</x:v>
      </x:c>
      <x:c r="C32" s="1" t="s">
        <x:v>130</x:v>
      </x:c>
      <x:c r="D32" s="4" t="s">
        <x:v>20</x:v>
      </x:c>
      <x:c r="E32" s="1" t="s">
        <x:v>41</x:v>
      </x:c>
      <x:c r="F32" s="1" t="s">
        <x:v>42</x:v>
      </x:c>
      <x:c r="G32" s="1" t="s">
        <x:v>42</x:v>
      </x:c>
      <x:c r="H32" s="1" t="s">
        <x:v>137</x:v>
      </x:c>
      <x:c r="I32" s="6">
        <x:f>IFERROR(INDEX(Уровни!$B$2:$B$7,MATCH(D32,Уровни!$A$2:$A$7,0)),0)</x:f>
      </x:c>
      <x:c r="J32" s="9">
        <x:f>IF(I32=0,0,I32/SUMIFS($I$2:$I$174,$C$2:$C$174,C32))</x:f>
      </x:c>
      <x:c r="K32" s="10">
        <x:f>J32*IFERROR(INDEX(Категории!$C$2:$C$20,MATCH(C32,Категории!$A$2:$A$20,0)),0)*IF(AND(Параметры!$B$9="да",G32="да"),0,1)</x:f>
      </x:c>
      <x:c r="L32" s="11">
        <x:f>IF(K32=0,"—",1/K32)</x:f>
      </x:c>
      <x:c r="M32" s="11">
        <x:f>IF(K32=0,"—",1/(K32*Параметры!$B$3))</x:f>
      </x:c>
      <x:c r="N32" s="12">
        <x:f>IF(K32=0,"—",1/(K32*Параметры!$B$8))</x:f>
      </x:c>
    </x:row>
    <x:row r="33" spans="1:14">
      <x:c r="A33" s="1" t="s">
        <x:v>138</x:v>
      </x:c>
      <x:c r="B33" s="1" t="s">
        <x:v>139</x:v>
      </x:c>
      <x:c r="C33" s="1" t="s">
        <x:v>130</x:v>
      </x:c>
      <x:c r="D33" s="4" t="s">
        <x:v>20</x:v>
      </x:c>
      <x:c r="E33" s="1" t="s">
        <x:v>41</x:v>
      </x:c>
      <x:c r="F33" s="1" t="s">
        <x:v>42</x:v>
      </x:c>
      <x:c r="G33" s="1" t="s">
        <x:v>64</x:v>
      </x:c>
      <x:c r="H33" s="1" t="s">
        <x:v>140</x:v>
      </x:c>
      <x:c r="I33" s="6">
        <x:f>IFERROR(INDEX(Уровни!$B$2:$B$7,MATCH(D33,Уровни!$A$2:$A$7,0)),0)</x:f>
      </x:c>
      <x:c r="J33" s="9">
        <x:f>IF(I33=0,0,I33/SUMIFS($I$2:$I$174,$C$2:$C$174,C33))</x:f>
      </x:c>
      <x:c r="K33" s="10">
        <x:f>J33*IFERROR(INDEX(Категории!$C$2:$C$20,MATCH(C33,Категории!$A$2:$A$20,0)),0)*IF(AND(Параметры!$B$9="да",G33="да"),0,1)</x:f>
      </x:c>
      <x:c r="L33" s="11">
        <x:f>IF(K33=0,"—",1/K33)</x:f>
      </x:c>
      <x:c r="M33" s="11">
        <x:f>IF(K33=0,"—",1/(K33*Параметры!$B$3))</x:f>
      </x:c>
      <x:c r="N33" s="12">
        <x:f>IF(K33=0,"—",1/(K33*Параметры!$B$8))</x:f>
      </x:c>
    </x:row>
    <x:row r="34" spans="1:14">
      <x:c r="A34" s="1" t="s">
        <x:v>141</x:v>
      </x:c>
      <x:c r="B34" s="1" t="s">
        <x:v>142</x:v>
      </x:c>
      <x:c r="C34" s="1" t="s">
        <x:v>130</x:v>
      </x:c>
      <x:c r="D34" s="4" t="s">
        <x:v>20</x:v>
      </x:c>
      <x:c r="E34" s="1" t="s">
        <x:v>41</x:v>
      </x:c>
      <x:c r="F34" s="1" t="s">
        <x:v>42</x:v>
      </x:c>
      <x:c r="G34" s="1" t="s">
        <x:v>64</x:v>
      </x:c>
      <x:c r="H34" s="1" t="s">
        <x:v>143</x:v>
      </x:c>
      <x:c r="I34" s="6">
        <x:f>IFERROR(INDEX(Уровни!$B$2:$B$7,MATCH(D34,Уровни!$A$2:$A$7,0)),0)</x:f>
      </x:c>
      <x:c r="J34" s="9">
        <x:f>IF(I34=0,0,I34/SUMIFS($I$2:$I$174,$C$2:$C$174,C34))</x:f>
      </x:c>
      <x:c r="K34" s="10">
        <x:f>J34*IFERROR(INDEX(Категории!$C$2:$C$20,MATCH(C34,Категории!$A$2:$A$20,0)),0)*IF(AND(Параметры!$B$9="да",G34="да"),0,1)</x:f>
      </x:c>
      <x:c r="L34" s="11">
        <x:f>IF(K34=0,"—",1/K34)</x:f>
      </x:c>
      <x:c r="M34" s="11">
        <x:f>IF(K34=0,"—",1/(K34*Параметры!$B$3))</x:f>
      </x:c>
      <x:c r="N34" s="12">
        <x:f>IF(K34=0,"—",1/(K34*Параметры!$B$8))</x:f>
      </x:c>
    </x:row>
    <x:row r="35" spans="1:14">
      <x:c r="A35" s="1" t="s">
        <x:v>144</x:v>
      </x:c>
      <x:c r="B35" s="1" t="s">
        <x:v>145</x:v>
      </x:c>
      <x:c r="C35" s="1" t="s">
        <x:v>130</x:v>
      </x:c>
      <x:c r="D35" s="4" t="s">
        <x:v>21</x:v>
      </x:c>
      <x:c r="E35" s="1" t="s">
        <x:v>41</x:v>
      </x:c>
      <x:c r="F35" s="1" t="s">
        <x:v>42</x:v>
      </x:c>
      <x:c r="G35" s="1" t="s">
        <x:v>64</x:v>
      </x:c>
      <x:c r="H35" s="1" t="s">
        <x:v>146</x:v>
      </x:c>
      <x:c r="I35" s="6">
        <x:f>IFERROR(INDEX(Уровни!$B$2:$B$7,MATCH(D35,Уровни!$A$2:$A$7,0)),0)</x:f>
      </x:c>
      <x:c r="J35" s="9">
        <x:f>IF(I35=0,0,I35/SUMIFS($I$2:$I$174,$C$2:$C$174,C35))</x:f>
      </x:c>
      <x:c r="K35" s="10">
        <x:f>J35*IFERROR(INDEX(Категории!$C$2:$C$20,MATCH(C35,Категории!$A$2:$A$20,0)),0)*IF(AND(Параметры!$B$9="да",G35="да"),0,1)</x:f>
      </x:c>
      <x:c r="L35" s="11">
        <x:f>IF(K35=0,"—",1/K35)</x:f>
      </x:c>
      <x:c r="M35" s="11">
        <x:f>IF(K35=0,"—",1/(K35*Параметры!$B$3))</x:f>
      </x:c>
      <x:c r="N35" s="12">
        <x:f>IF(K35=0,"—",1/(K35*Параметры!$B$8))</x:f>
      </x:c>
    </x:row>
    <x:row r="36" spans="1:14">
      <x:c r="A36" s="1" t="s">
        <x:v>147</x:v>
      </x:c>
      <x:c r="B36" s="1" t="s">
        <x:v>148</x:v>
      </x:c>
      <x:c r="C36" s="1" t="s">
        <x:v>130</x:v>
      </x:c>
      <x:c r="D36" s="4" t="s">
        <x:v>21</x:v>
      </x:c>
      <x:c r="E36" s="1" t="s">
        <x:v>41</x:v>
      </x:c>
      <x:c r="F36" s="1" t="s">
        <x:v>42</x:v>
      </x:c>
      <x:c r="G36" s="1" t="s">
        <x:v>64</x:v>
      </x:c>
      <x:c r="H36" s="1" t="s">
        <x:v>149</x:v>
      </x:c>
      <x:c r="I36" s="6">
        <x:f>IFERROR(INDEX(Уровни!$B$2:$B$7,MATCH(D36,Уровни!$A$2:$A$7,0)),0)</x:f>
      </x:c>
      <x:c r="J36" s="9">
        <x:f>IF(I36=0,0,I36/SUMIFS($I$2:$I$174,$C$2:$C$174,C36))</x:f>
      </x:c>
      <x:c r="K36" s="10">
        <x:f>J36*IFERROR(INDEX(Категории!$C$2:$C$20,MATCH(C36,Категории!$A$2:$A$20,0)),0)*IF(AND(Параметры!$B$9="да",G36="да"),0,1)</x:f>
      </x:c>
      <x:c r="L36" s="11">
        <x:f>IF(K36=0,"—",1/K36)</x:f>
      </x:c>
      <x:c r="M36" s="11">
        <x:f>IF(K36=0,"—",1/(K36*Параметры!$B$3))</x:f>
      </x:c>
      <x:c r="N36" s="12">
        <x:f>IF(K36=0,"—",1/(K36*Параметры!$B$8))</x:f>
      </x:c>
    </x:row>
    <x:row r="37" spans="1:14">
      <x:c r="A37" s="1" t="s">
        <x:v>150</x:v>
      </x:c>
      <x:c r="B37" s="1" t="s">
        <x:v>151</x:v>
      </x:c>
      <x:c r="C37" s="1" t="s">
        <x:v>130</x:v>
      </x:c>
      <x:c r="D37" s="4" t="s">
        <x:v>21</x:v>
      </x:c>
      <x:c r="E37" s="1" t="s">
        <x:v>41</x:v>
      </x:c>
      <x:c r="F37" s="1" t="s">
        <x:v>42</x:v>
      </x:c>
      <x:c r="G37" s="1" t="s">
        <x:v>42</x:v>
      </x:c>
      <x:c r="H37" s="1" t="s">
        <x:v>152</x:v>
      </x:c>
      <x:c r="I37" s="6">
        <x:f>IFERROR(INDEX(Уровни!$B$2:$B$7,MATCH(D37,Уровни!$A$2:$A$7,0)),0)</x:f>
      </x:c>
      <x:c r="J37" s="9">
        <x:f>IF(I37=0,0,I37/SUMIFS($I$2:$I$174,$C$2:$C$174,C37))</x:f>
      </x:c>
      <x:c r="K37" s="10">
        <x:f>J37*IFERROR(INDEX(Категории!$C$2:$C$20,MATCH(C37,Категории!$A$2:$A$20,0)),0)*IF(AND(Параметры!$B$9="да",G37="да"),0,1)</x:f>
      </x:c>
      <x:c r="L37" s="11">
        <x:f>IF(K37=0,"—",1/K37)</x:f>
      </x:c>
      <x:c r="M37" s="11">
        <x:f>IF(K37=0,"—",1/(K37*Параметры!$B$3))</x:f>
      </x:c>
      <x:c r="N37" s="12">
        <x:f>IF(K37=0,"—",1/(K37*Параметры!$B$8))</x:f>
      </x:c>
    </x:row>
    <x:row r="38" spans="1:14">
      <x:c r="A38" s="1" t="s">
        <x:v>153</x:v>
      </x:c>
      <x:c r="B38" s="1" t="s">
        <x:v>154</x:v>
      </x:c>
      <x:c r="C38" s="1" t="s">
        <x:v>130</x:v>
      </x:c>
      <x:c r="D38" s="4" t="s">
        <x:v>21</x:v>
      </x:c>
      <x:c r="E38" s="1" t="s">
        <x:v>71</x:v>
      </x:c>
      <x:c r="F38" s="1" t="s">
        <x:v>42</x:v>
      </x:c>
      <x:c r="G38" s="1" t="s">
        <x:v>42</x:v>
      </x:c>
      <x:c r="H38" s="1" t="s">
        <x:v>155</x:v>
      </x:c>
      <x:c r="I38" s="6">
        <x:f>IFERROR(INDEX(Уровни!$B$2:$B$7,MATCH(D38,Уровни!$A$2:$A$7,0)),0)</x:f>
      </x:c>
      <x:c r="J38" s="9">
        <x:f>IF(I38=0,0,I38/SUMIFS($I$2:$I$174,$C$2:$C$174,C38))</x:f>
      </x:c>
      <x:c r="K38" s="10">
        <x:f>J38*IFERROR(INDEX(Категории!$C$2:$C$20,MATCH(C38,Категории!$A$2:$A$20,0)),0)*IF(AND(Параметры!$B$9="да",G38="да"),0,1)</x:f>
      </x:c>
      <x:c r="L38" s="11">
        <x:f>IF(K38=0,"—",1/K38)</x:f>
      </x:c>
      <x:c r="M38" s="11">
        <x:f>IF(K38=0,"—",1/(K38*Параметры!$B$3))</x:f>
      </x:c>
      <x:c r="N38" s="12">
        <x:f>IF(K38=0,"—",1/(K38*Параметры!$B$8))</x:f>
      </x:c>
    </x:row>
    <x:row r="39" spans="1:14">
      <x:c r="A39" s="1" t="s">
        <x:v>156</x:v>
      </x:c>
      <x:c r="B39" s="1" t="s">
        <x:v>157</x:v>
      </x:c>
      <x:c r="C39" s="1" t="s">
        <x:v>130</x:v>
      </x:c>
      <x:c r="D39" s="4" t="s">
        <x:v>22</x:v>
      </x:c>
      <x:c r="E39" s="1" t="s">
        <x:v>41</x:v>
      </x:c>
      <x:c r="F39" s="1" t="s">
        <x:v>42</x:v>
      </x:c>
      <x:c r="G39" s="1" t="s">
        <x:v>64</x:v>
      </x:c>
      <x:c r="H39" s="1" t="s">
        <x:v>158</x:v>
      </x:c>
      <x:c r="I39" s="6">
        <x:f>IFERROR(INDEX(Уровни!$B$2:$B$7,MATCH(D39,Уровни!$A$2:$A$7,0)),0)</x:f>
      </x:c>
      <x:c r="J39" s="9">
        <x:f>IF(I39=0,0,I39/SUMIFS($I$2:$I$174,$C$2:$C$174,C39))</x:f>
      </x:c>
      <x:c r="K39" s="10">
        <x:f>J39*IFERROR(INDEX(Категории!$C$2:$C$20,MATCH(C39,Категории!$A$2:$A$20,0)),0)*IF(AND(Параметры!$B$9="да",G39="да"),0,1)</x:f>
      </x:c>
      <x:c r="L39" s="11">
        <x:f>IF(K39=0,"—",1/K39)</x:f>
      </x:c>
      <x:c r="M39" s="11">
        <x:f>IF(K39=0,"—",1/(K39*Параметры!$B$3))</x:f>
      </x:c>
      <x:c r="N39" s="12">
        <x:f>IF(K39=0,"—",1/(K39*Параметры!$B$8))</x:f>
      </x:c>
    </x:row>
    <x:row r="40" spans="1:14">
      <x:c r="A40" s="1" t="s">
        <x:v>159</x:v>
      </x:c>
      <x:c r="B40" s="1" t="s">
        <x:v>160</x:v>
      </x:c>
      <x:c r="C40" s="1" t="s">
        <x:v>130</x:v>
      </x:c>
      <x:c r="D40" s="4" t="s">
        <x:v>22</x:v>
      </x:c>
      <x:c r="E40" s="1" t="s">
        <x:v>71</x:v>
      </x:c>
      <x:c r="F40" s="1" t="s">
        <x:v>42</x:v>
      </x:c>
      <x:c r="G40" s="1" t="s">
        <x:v>64</x:v>
      </x:c>
      <x:c r="H40" s="1" t="s">
        <x:v>161</x:v>
      </x:c>
      <x:c r="I40" s="6">
        <x:f>IFERROR(INDEX(Уровни!$B$2:$B$7,MATCH(D40,Уровни!$A$2:$A$7,0)),0)</x:f>
      </x:c>
      <x:c r="J40" s="9">
        <x:f>IF(I40=0,0,I40/SUMIFS($I$2:$I$174,$C$2:$C$174,C40))</x:f>
      </x:c>
      <x:c r="K40" s="10">
        <x:f>J40*IFERROR(INDEX(Категории!$C$2:$C$20,MATCH(C40,Категории!$A$2:$A$20,0)),0)*IF(AND(Параметры!$B$9="да",G40="да"),0,1)</x:f>
      </x:c>
      <x:c r="L40" s="11">
        <x:f>IF(K40=0,"—",1/K40)</x:f>
      </x:c>
      <x:c r="M40" s="11">
        <x:f>IF(K40=0,"—",1/(K40*Параметры!$B$3))</x:f>
      </x:c>
      <x:c r="N40" s="12">
        <x:f>IF(K40=0,"—",1/(K40*Параметры!$B$8))</x:f>
      </x:c>
    </x:row>
    <x:row r="41" spans="1:14">
      <x:c r="A41" s="1" t="s">
        <x:v>162</x:v>
      </x:c>
      <x:c r="B41" s="1" t="s">
        <x:v>163</x:v>
      </x:c>
      <x:c r="C41" s="1" t="s">
        <x:v>164</x:v>
      </x:c>
      <x:c r="D41" s="4" t="s">
        <x:v>21</x:v>
      </x:c>
      <x:c r="E41" s="1" t="s">
        <x:v>41</x:v>
      </x:c>
      <x:c r="F41" s="1" t="s">
        <x:v>42</x:v>
      </x:c>
      <x:c r="G41" s="1" t="s">
        <x:v>42</x:v>
      </x:c>
      <x:c r="H41" s="1" t="s">
        <x:v>165</x:v>
      </x:c>
      <x:c r="I41" s="6">
        <x:f>IFERROR(INDEX(Уровни!$B$2:$B$7,MATCH(D41,Уровни!$A$2:$A$7,0)),0)</x:f>
      </x:c>
      <x:c r="J41" s="9">
        <x:f>IF(I41=0,0,I41/SUMIFS($I$2:$I$174,$C$2:$C$174,C41))</x:f>
      </x:c>
      <x:c r="K41" s="10">
        <x:f>J41*IFERROR(INDEX(Категории!$C$2:$C$20,MATCH(C41,Категории!$A$2:$A$20,0)),0)*IF(AND(Параметры!$B$9="да",G41="да"),0,1)</x:f>
      </x:c>
      <x:c r="L41" s="11">
        <x:f>IF(K41=0,"—",1/K41)</x:f>
      </x:c>
      <x:c r="M41" s="11">
        <x:f>IF(K41=0,"—",1/(K41*Параметры!$B$3))</x:f>
      </x:c>
      <x:c r="N41" s="12">
        <x:f>IF(K41=0,"—",1/(K41*Параметры!$B$8))</x:f>
      </x:c>
    </x:row>
    <x:row r="42" spans="1:14">
      <x:c r="A42" s="1" t="s">
        <x:v>166</x:v>
      </x:c>
      <x:c r="B42" s="1" t="s">
        <x:v>167</x:v>
      </x:c>
      <x:c r="C42" s="1" t="s">
        <x:v>164</x:v>
      </x:c>
      <x:c r="D42" s="4" t="s">
        <x:v>21</x:v>
      </x:c>
      <x:c r="E42" s="1" t="s">
        <x:v>41</x:v>
      </x:c>
      <x:c r="F42" s="1" t="s">
        <x:v>42</x:v>
      </x:c>
      <x:c r="G42" s="1" t="s">
        <x:v>64</x:v>
      </x:c>
      <x:c r="H42" s="1" t="s">
        <x:v>168</x:v>
      </x:c>
      <x:c r="I42" s="6">
        <x:f>IFERROR(INDEX(Уровни!$B$2:$B$7,MATCH(D42,Уровни!$A$2:$A$7,0)),0)</x:f>
      </x:c>
      <x:c r="J42" s="9">
        <x:f>IF(I42=0,0,I42/SUMIFS($I$2:$I$174,$C$2:$C$174,C42))</x:f>
      </x:c>
      <x:c r="K42" s="10">
        <x:f>J42*IFERROR(INDEX(Категории!$C$2:$C$20,MATCH(C42,Категории!$A$2:$A$20,0)),0)*IF(AND(Параметры!$B$9="да",G42="да"),0,1)</x:f>
      </x:c>
      <x:c r="L42" s="11">
        <x:f>IF(K42=0,"—",1/K42)</x:f>
      </x:c>
      <x:c r="M42" s="11">
        <x:f>IF(K42=0,"—",1/(K42*Параметры!$B$3))</x:f>
      </x:c>
      <x:c r="N42" s="12">
        <x:f>IF(K42=0,"—",1/(K42*Параметры!$B$8))</x:f>
      </x:c>
    </x:row>
    <x:row r="43" spans="1:14">
      <x:c r="A43" s="1" t="s">
        <x:v>169</x:v>
      </x:c>
      <x:c r="B43" s="1" t="s">
        <x:v>170</x:v>
      </x:c>
      <x:c r="C43" s="1" t="s">
        <x:v>164</x:v>
      </x:c>
      <x:c r="D43" s="4" t="s">
        <x:v>21</x:v>
      </x:c>
      <x:c r="E43" s="1" t="s">
        <x:v>41</x:v>
      </x:c>
      <x:c r="F43" s="1" t="s">
        <x:v>42</x:v>
      </x:c>
      <x:c r="G43" s="1" t="s">
        <x:v>42</x:v>
      </x:c>
      <x:c r="H43" s="1" t="s">
        <x:v>171</x:v>
      </x:c>
      <x:c r="I43" s="6">
        <x:f>IFERROR(INDEX(Уровни!$B$2:$B$7,MATCH(D43,Уровни!$A$2:$A$7,0)),0)</x:f>
      </x:c>
      <x:c r="J43" s="9">
        <x:f>IF(I43=0,0,I43/SUMIFS($I$2:$I$174,$C$2:$C$174,C43))</x:f>
      </x:c>
      <x:c r="K43" s="10">
        <x:f>J43*IFERROR(INDEX(Категории!$C$2:$C$20,MATCH(C43,Категории!$A$2:$A$20,0)),0)*IF(AND(Параметры!$B$9="да",G43="да"),0,1)</x:f>
      </x:c>
      <x:c r="L43" s="11">
        <x:f>IF(K43=0,"—",1/K43)</x:f>
      </x:c>
      <x:c r="M43" s="11">
        <x:f>IF(K43=0,"—",1/(K43*Параметры!$B$3))</x:f>
      </x:c>
      <x:c r="N43" s="12">
        <x:f>IF(K43=0,"—",1/(K43*Параметры!$B$8))</x:f>
      </x:c>
    </x:row>
    <x:row r="44" spans="1:14">
      <x:c r="A44" s="1" t="s">
        <x:v>172</x:v>
      </x:c>
      <x:c r="B44" s="1" t="s">
        <x:v>173</x:v>
      </x:c>
      <x:c r="C44" s="1" t="s">
        <x:v>164</x:v>
      </x:c>
      <x:c r="D44" s="4" t="s">
        <x:v>21</x:v>
      </x:c>
      <x:c r="E44" s="1" t="s">
        <x:v>41</x:v>
      </x:c>
      <x:c r="F44" s="1" t="s">
        <x:v>42</x:v>
      </x:c>
      <x:c r="G44" s="1" t="s">
        <x:v>42</x:v>
      </x:c>
      <x:c r="H44" s="1" t="s">
        <x:v>174</x:v>
      </x:c>
      <x:c r="I44" s="6">
        <x:f>IFERROR(INDEX(Уровни!$B$2:$B$7,MATCH(D44,Уровни!$A$2:$A$7,0)),0)</x:f>
      </x:c>
      <x:c r="J44" s="9">
        <x:f>IF(I44=0,0,I44/SUMIFS($I$2:$I$174,$C$2:$C$174,C44))</x:f>
      </x:c>
      <x:c r="K44" s="10">
        <x:f>J44*IFERROR(INDEX(Категории!$C$2:$C$20,MATCH(C44,Категории!$A$2:$A$20,0)),0)*IF(AND(Параметры!$B$9="да",G44="да"),0,1)</x:f>
      </x:c>
      <x:c r="L44" s="11">
        <x:f>IF(K44=0,"—",1/K44)</x:f>
      </x:c>
      <x:c r="M44" s="11">
        <x:f>IF(K44=0,"—",1/(K44*Параметры!$B$3))</x:f>
      </x:c>
      <x:c r="N44" s="12">
        <x:f>IF(K44=0,"—",1/(K44*Параметры!$B$8))</x:f>
      </x:c>
    </x:row>
    <x:row r="45" spans="1:14">
      <x:c r="A45" s="1" t="s">
        <x:v>175</x:v>
      </x:c>
      <x:c r="B45" s="1" t="s">
        <x:v>176</x:v>
      </x:c>
      <x:c r="C45" s="1" t="s">
        <x:v>164</x:v>
      </x:c>
      <x:c r="D45" s="4" t="s">
        <x:v>21</x:v>
      </x:c>
      <x:c r="E45" s="1" t="s">
        <x:v>41</x:v>
      </x:c>
      <x:c r="F45" s="1" t="s">
        <x:v>42</x:v>
      </x:c>
      <x:c r="G45" s="1" t="s">
        <x:v>42</x:v>
      </x:c>
      <x:c r="H45" s="1" t="s">
        <x:v>177</x:v>
      </x:c>
      <x:c r="I45" s="6">
        <x:f>IFERROR(INDEX(Уровни!$B$2:$B$7,MATCH(D45,Уровни!$A$2:$A$7,0)),0)</x:f>
      </x:c>
      <x:c r="J45" s="9">
        <x:f>IF(I45=0,0,I45/SUMIFS($I$2:$I$174,$C$2:$C$174,C45))</x:f>
      </x:c>
      <x:c r="K45" s="10">
        <x:f>J45*IFERROR(INDEX(Категории!$C$2:$C$20,MATCH(C45,Категории!$A$2:$A$20,0)),0)*IF(AND(Параметры!$B$9="да",G45="да"),0,1)</x:f>
      </x:c>
      <x:c r="L45" s="11">
        <x:f>IF(K45=0,"—",1/K45)</x:f>
      </x:c>
      <x:c r="M45" s="11">
        <x:f>IF(K45=0,"—",1/(K45*Параметры!$B$3))</x:f>
      </x:c>
      <x:c r="N45" s="12">
        <x:f>IF(K45=0,"—",1/(K45*Параметры!$B$8))</x:f>
      </x:c>
    </x:row>
    <x:row r="46" spans="1:14">
      <x:c r="A46" s="1" t="s">
        <x:v>178</x:v>
      </x:c>
      <x:c r="B46" s="1" t="s">
        <x:v>179</x:v>
      </x:c>
      <x:c r="C46" s="1" t="s">
        <x:v>164</x:v>
      </x:c>
      <x:c r="D46" s="4" t="s">
        <x:v>21</x:v>
      </x:c>
      <x:c r="E46" s="1" t="s">
        <x:v>41</x:v>
      </x:c>
      <x:c r="F46" s="1" t="s">
        <x:v>42</x:v>
      </x:c>
      <x:c r="G46" s="1" t="s">
        <x:v>42</x:v>
      </x:c>
      <x:c r="H46" s="1" t="s">
        <x:v>180</x:v>
      </x:c>
      <x:c r="I46" s="6">
        <x:f>IFERROR(INDEX(Уровни!$B$2:$B$7,MATCH(D46,Уровни!$A$2:$A$7,0)),0)</x:f>
      </x:c>
      <x:c r="J46" s="9">
        <x:f>IF(I46=0,0,I46/SUMIFS($I$2:$I$174,$C$2:$C$174,C46))</x:f>
      </x:c>
      <x:c r="K46" s="10">
        <x:f>J46*IFERROR(INDEX(Категории!$C$2:$C$20,MATCH(C46,Категории!$A$2:$A$20,0)),0)*IF(AND(Параметры!$B$9="да",G46="да"),0,1)</x:f>
      </x:c>
      <x:c r="L46" s="11">
        <x:f>IF(K46=0,"—",1/K46)</x:f>
      </x:c>
      <x:c r="M46" s="11">
        <x:f>IF(K46=0,"—",1/(K46*Параметры!$B$3))</x:f>
      </x:c>
      <x:c r="N46" s="12">
        <x:f>IF(K46=0,"—",1/(K46*Параметры!$B$8))</x:f>
      </x:c>
    </x:row>
    <x:row r="47" spans="1:14">
      <x:c r="A47" s="1" t="s">
        <x:v>181</x:v>
      </x:c>
      <x:c r="B47" s="1" t="s">
        <x:v>182</x:v>
      </x:c>
      <x:c r="C47" s="1" t="s">
        <x:v>164</x:v>
      </x:c>
      <x:c r="D47" s="4" t="s">
        <x:v>21</x:v>
      </x:c>
      <x:c r="E47" s="1" t="s">
        <x:v>41</x:v>
      </x:c>
      <x:c r="F47" s="1" t="s">
        <x:v>42</x:v>
      </x:c>
      <x:c r="G47" s="1" t="s">
        <x:v>42</x:v>
      </x:c>
      <x:c r="H47" s="1" t="s">
        <x:v>183</x:v>
      </x:c>
      <x:c r="I47" s="6">
        <x:f>IFERROR(INDEX(Уровни!$B$2:$B$7,MATCH(D47,Уровни!$A$2:$A$7,0)),0)</x:f>
      </x:c>
      <x:c r="J47" s="9">
        <x:f>IF(I47=0,0,I47/SUMIFS($I$2:$I$174,$C$2:$C$174,C47))</x:f>
      </x:c>
      <x:c r="K47" s="10">
        <x:f>J47*IFERROR(INDEX(Категории!$C$2:$C$20,MATCH(C47,Категории!$A$2:$A$20,0)),0)*IF(AND(Параметры!$B$9="да",G47="да"),0,1)</x:f>
      </x:c>
      <x:c r="L47" s="11">
        <x:f>IF(K47=0,"—",1/K47)</x:f>
      </x:c>
      <x:c r="M47" s="11">
        <x:f>IF(K47=0,"—",1/(K47*Параметры!$B$3))</x:f>
      </x:c>
      <x:c r="N47" s="12">
        <x:f>IF(K47=0,"—",1/(K47*Параметры!$B$8))</x:f>
      </x:c>
    </x:row>
    <x:row r="48" spans="1:14">
      <x:c r="A48" s="1" t="s">
        <x:v>184</x:v>
      </x:c>
      <x:c r="B48" s="1" t="s">
        <x:v>185</x:v>
      </x:c>
      <x:c r="C48" s="1" t="s">
        <x:v>164</x:v>
      </x:c>
      <x:c r="D48" s="4" t="s">
        <x:v>21</x:v>
      </x:c>
      <x:c r="E48" s="1" t="s">
        <x:v>41</x:v>
      </x:c>
      <x:c r="F48" s="1" t="s">
        <x:v>42</x:v>
      </x:c>
      <x:c r="G48" s="1" t="s">
        <x:v>64</x:v>
      </x:c>
      <x:c r="H48" s="1" t="s">
        <x:v>186</x:v>
      </x:c>
      <x:c r="I48" s="6">
        <x:f>IFERROR(INDEX(Уровни!$B$2:$B$7,MATCH(D48,Уровни!$A$2:$A$7,0)),0)</x:f>
      </x:c>
      <x:c r="J48" s="9">
        <x:f>IF(I48=0,0,I48/SUMIFS($I$2:$I$174,$C$2:$C$174,C48))</x:f>
      </x:c>
      <x:c r="K48" s="10">
        <x:f>J48*IFERROR(INDEX(Категории!$C$2:$C$20,MATCH(C48,Категории!$A$2:$A$20,0)),0)*IF(AND(Параметры!$B$9="да",G48="да"),0,1)</x:f>
      </x:c>
      <x:c r="L48" s="11">
        <x:f>IF(K48=0,"—",1/K48)</x:f>
      </x:c>
      <x:c r="M48" s="11">
        <x:f>IF(K48=0,"—",1/(K48*Параметры!$B$3))</x:f>
      </x:c>
      <x:c r="N48" s="12">
        <x:f>IF(K48=0,"—",1/(K48*Параметры!$B$8))</x:f>
      </x:c>
    </x:row>
    <x:row r="49" spans="1:14">
      <x:c r="A49" s="1" t="s">
        <x:v>187</x:v>
      </x:c>
      <x:c r="B49" s="1" t="s">
        <x:v>188</x:v>
      </x:c>
      <x:c r="C49" s="1" t="s">
        <x:v>164</x:v>
      </x:c>
      <x:c r="D49" s="4" t="s">
        <x:v>22</x:v>
      </x:c>
      <x:c r="E49" s="1" t="s">
        <x:v>41</x:v>
      </x:c>
      <x:c r="F49" s="1" t="s">
        <x:v>42</x:v>
      </x:c>
      <x:c r="G49" s="1" t="s">
        <x:v>64</x:v>
      </x:c>
      <x:c r="H49" s="1" t="s">
        <x:v>189</x:v>
      </x:c>
      <x:c r="I49" s="6">
        <x:f>IFERROR(INDEX(Уровни!$B$2:$B$7,MATCH(D49,Уровни!$A$2:$A$7,0)),0)</x:f>
      </x:c>
      <x:c r="J49" s="9">
        <x:f>IF(I49=0,0,I49/SUMIFS($I$2:$I$174,$C$2:$C$174,C49))</x:f>
      </x:c>
      <x:c r="K49" s="10">
        <x:f>J49*IFERROR(INDEX(Категории!$C$2:$C$20,MATCH(C49,Категории!$A$2:$A$20,0)),0)*IF(AND(Параметры!$B$9="да",G49="да"),0,1)</x:f>
      </x:c>
      <x:c r="L49" s="11">
        <x:f>IF(K49=0,"—",1/K49)</x:f>
      </x:c>
      <x:c r="M49" s="11">
        <x:f>IF(K49=0,"—",1/(K49*Параметры!$B$3))</x:f>
      </x:c>
      <x:c r="N49" s="12">
        <x:f>IF(K49=0,"—",1/(K49*Параметры!$B$8))</x:f>
      </x:c>
    </x:row>
    <x:row r="50" spans="1:14">
      <x:c r="A50" s="1" t="s">
        <x:v>190</x:v>
      </x:c>
      <x:c r="B50" s="1" t="s">
        <x:v>191</x:v>
      </x:c>
      <x:c r="C50" s="1" t="s">
        <x:v>164</x:v>
      </x:c>
      <x:c r="D50" s="4" t="s">
        <x:v>22</x:v>
      </x:c>
      <x:c r="E50" s="1" t="s">
        <x:v>41</x:v>
      </x:c>
      <x:c r="F50" s="1" t="s">
        <x:v>42</x:v>
      </x:c>
      <x:c r="G50" s="1" t="s">
        <x:v>42</x:v>
      </x:c>
      <x:c r="H50" s="1" t="s">
        <x:v>192</x:v>
      </x:c>
      <x:c r="I50" s="6">
        <x:f>IFERROR(INDEX(Уровни!$B$2:$B$7,MATCH(D50,Уровни!$A$2:$A$7,0)),0)</x:f>
      </x:c>
      <x:c r="J50" s="9">
        <x:f>IF(I50=0,0,I50/SUMIFS($I$2:$I$174,$C$2:$C$174,C50))</x:f>
      </x:c>
      <x:c r="K50" s="10">
        <x:f>J50*IFERROR(INDEX(Категории!$C$2:$C$20,MATCH(C50,Категории!$A$2:$A$20,0)),0)*IF(AND(Параметры!$B$9="да",G50="да"),0,1)</x:f>
      </x:c>
      <x:c r="L50" s="11">
        <x:f>IF(K50=0,"—",1/K50)</x:f>
      </x:c>
      <x:c r="M50" s="11">
        <x:f>IF(K50=0,"—",1/(K50*Параметры!$B$3))</x:f>
      </x:c>
      <x:c r="N50" s="12">
        <x:f>IF(K50=0,"—",1/(K50*Параметры!$B$8))</x:f>
      </x:c>
    </x:row>
    <x:row r="51" spans="1:14">
      <x:c r="A51" s="1" t="s">
        <x:v>193</x:v>
      </x:c>
      <x:c r="B51" s="1" t="s">
        <x:v>194</x:v>
      </x:c>
      <x:c r="C51" s="1" t="s">
        <x:v>164</x:v>
      </x:c>
      <x:c r="D51" s="4" t="s">
        <x:v>22</x:v>
      </x:c>
      <x:c r="E51" s="1" t="s">
        <x:v>41</x:v>
      </x:c>
      <x:c r="F51" s="1" t="s">
        <x:v>42</x:v>
      </x:c>
      <x:c r="G51" s="1" t="s">
        <x:v>42</x:v>
      </x:c>
      <x:c r="H51" s="1" t="s">
        <x:v>195</x:v>
      </x:c>
      <x:c r="I51" s="6">
        <x:f>IFERROR(INDEX(Уровни!$B$2:$B$7,MATCH(D51,Уровни!$A$2:$A$7,0)),0)</x:f>
      </x:c>
      <x:c r="J51" s="9">
        <x:f>IF(I51=0,0,I51/SUMIFS($I$2:$I$174,$C$2:$C$174,C51))</x:f>
      </x:c>
      <x:c r="K51" s="10">
        <x:f>J51*IFERROR(INDEX(Категории!$C$2:$C$20,MATCH(C51,Категории!$A$2:$A$20,0)),0)*IF(AND(Параметры!$B$9="да",G51="да"),0,1)</x:f>
      </x:c>
      <x:c r="L51" s="11">
        <x:f>IF(K51=0,"—",1/K51)</x:f>
      </x:c>
      <x:c r="M51" s="11">
        <x:f>IF(K51=0,"—",1/(K51*Параметры!$B$3))</x:f>
      </x:c>
      <x:c r="N51" s="12">
        <x:f>IF(K51=0,"—",1/(K51*Параметры!$B$8))</x:f>
      </x:c>
    </x:row>
    <x:row r="52" spans="1:14">
      <x:c r="A52" s="1" t="s">
        <x:v>196</x:v>
      </x:c>
      <x:c r="B52" s="1" t="s">
        <x:v>197</x:v>
      </x:c>
      <x:c r="C52" s="1" t="s">
        <x:v>164</x:v>
      </x:c>
      <x:c r="D52" s="4" t="s">
        <x:v>22</x:v>
      </x:c>
      <x:c r="E52" s="1" t="s">
        <x:v>71</x:v>
      </x:c>
      <x:c r="F52" s="1" t="s">
        <x:v>42</x:v>
      </x:c>
      <x:c r="G52" s="1" t="s">
        <x:v>42</x:v>
      </x:c>
      <x:c r="H52" s="1" t="s">
        <x:v>198</x:v>
      </x:c>
      <x:c r="I52" s="6">
        <x:f>IFERROR(INDEX(Уровни!$B$2:$B$7,MATCH(D52,Уровни!$A$2:$A$7,0)),0)</x:f>
      </x:c>
      <x:c r="J52" s="9">
        <x:f>IF(I52=0,0,I52/SUMIFS($I$2:$I$174,$C$2:$C$174,C52))</x:f>
      </x:c>
      <x:c r="K52" s="10">
        <x:f>J52*IFERROR(INDEX(Категории!$C$2:$C$20,MATCH(C52,Категории!$A$2:$A$20,0)),0)*IF(AND(Параметры!$B$9="да",G52="да"),0,1)</x:f>
      </x:c>
      <x:c r="L52" s="11">
        <x:f>IF(K52=0,"—",1/K52)</x:f>
      </x:c>
      <x:c r="M52" s="11">
        <x:f>IF(K52=0,"—",1/(K52*Параметры!$B$3))</x:f>
      </x:c>
      <x:c r="N52" s="12">
        <x:f>IF(K52=0,"—",1/(K52*Параметры!$B$8))</x:f>
      </x:c>
    </x:row>
    <x:row r="53" spans="1:14">
      <x:c r="A53" s="1" t="s">
        <x:v>199</x:v>
      </x:c>
      <x:c r="B53" s="1" t="s">
        <x:v>200</x:v>
      </x:c>
      <x:c r="C53" s="1" t="s">
        <x:v>164</x:v>
      </x:c>
      <x:c r="D53" s="4" t="s">
        <x:v>22</x:v>
      </x:c>
      <x:c r="E53" s="1" t="s">
        <x:v>71</x:v>
      </x:c>
      <x:c r="F53" s="1" t="s">
        <x:v>42</x:v>
      </x:c>
      <x:c r="G53" s="1" t="s">
        <x:v>42</x:v>
      </x:c>
      <x:c r="H53" s="1" t="s">
        <x:v>201</x:v>
      </x:c>
      <x:c r="I53" s="6">
        <x:f>IFERROR(INDEX(Уровни!$B$2:$B$7,MATCH(D53,Уровни!$A$2:$A$7,0)),0)</x:f>
      </x:c>
      <x:c r="J53" s="9">
        <x:f>IF(I53=0,0,I53/SUMIFS($I$2:$I$174,$C$2:$C$174,C53))</x:f>
      </x:c>
      <x:c r="K53" s="10">
        <x:f>J53*IFERROR(INDEX(Категории!$C$2:$C$20,MATCH(C53,Категории!$A$2:$A$20,0)),0)*IF(AND(Параметры!$B$9="да",G53="да"),0,1)</x:f>
      </x:c>
      <x:c r="L53" s="11">
        <x:f>IF(K53=0,"—",1/K53)</x:f>
      </x:c>
      <x:c r="M53" s="11">
        <x:f>IF(K53=0,"—",1/(K53*Параметры!$B$3))</x:f>
      </x:c>
      <x:c r="N53" s="12">
        <x:f>IF(K53=0,"—",1/(K53*Параметры!$B$8))</x:f>
      </x:c>
    </x:row>
    <x:row r="54" spans="1:14">
      <x:c r="A54" s="1" t="s">
        <x:v>202</x:v>
      </x:c>
      <x:c r="B54" s="1" t="s">
        <x:v>203</x:v>
      </x:c>
      <x:c r="C54" s="1" t="s">
        <x:v>164</x:v>
      </x:c>
      <x:c r="D54" s="4" t="s">
        <x:v>23</x:v>
      </x:c>
      <x:c r="E54" s="1" t="s">
        <x:v>41</x:v>
      </x:c>
      <x:c r="F54" s="1" t="s">
        <x:v>42</x:v>
      </x:c>
      <x:c r="G54" s="1" t="s">
        <x:v>42</x:v>
      </x:c>
      <x:c r="H54" s="1" t="s">
        <x:v>204</x:v>
      </x:c>
      <x:c r="I54" s="6">
        <x:f>IFERROR(INDEX(Уровни!$B$2:$B$7,MATCH(D54,Уровни!$A$2:$A$7,0)),0)</x:f>
      </x:c>
      <x:c r="J54" s="9">
        <x:f>IF(I54=0,0,I54/SUMIFS($I$2:$I$174,$C$2:$C$174,C54))</x:f>
      </x:c>
      <x:c r="K54" s="10">
        <x:f>J54*IFERROR(INDEX(Категории!$C$2:$C$20,MATCH(C54,Категории!$A$2:$A$20,0)),0)*IF(AND(Параметры!$B$9="да",G54="да"),0,1)</x:f>
      </x:c>
      <x:c r="L54" s="11">
        <x:f>IF(K54=0,"—",1/K54)</x:f>
      </x:c>
      <x:c r="M54" s="11">
        <x:f>IF(K54=0,"—",1/(K54*Параметры!$B$3))</x:f>
      </x:c>
      <x:c r="N54" s="12">
        <x:f>IF(K54=0,"—",1/(K54*Параметры!$B$8))</x:f>
      </x:c>
    </x:row>
    <x:row r="55" spans="1:14">
      <x:c r="A55" s="1" t="s">
        <x:v>205</x:v>
      </x:c>
      <x:c r="B55" s="1" t="s">
        <x:v>206</x:v>
      </x:c>
      <x:c r="C55" s="1" t="s">
        <x:v>164</x:v>
      </x:c>
      <x:c r="D55" s="4" t="s">
        <x:v>23</x:v>
      </x:c>
      <x:c r="E55" s="1" t="s">
        <x:v>71</x:v>
      </x:c>
      <x:c r="F55" s="1" t="s">
        <x:v>42</x:v>
      </x:c>
      <x:c r="G55" s="1" t="s">
        <x:v>42</x:v>
      </x:c>
      <x:c r="H55" s="1" t="s">
        <x:v>207</x:v>
      </x:c>
      <x:c r="I55" s="6">
        <x:f>IFERROR(INDEX(Уровни!$B$2:$B$7,MATCH(D55,Уровни!$A$2:$A$7,0)),0)</x:f>
      </x:c>
      <x:c r="J55" s="9">
        <x:f>IF(I55=0,0,I55/SUMIFS($I$2:$I$174,$C$2:$C$174,C55))</x:f>
      </x:c>
      <x:c r="K55" s="10">
        <x:f>J55*IFERROR(INDEX(Категории!$C$2:$C$20,MATCH(C55,Категории!$A$2:$A$20,0)),0)*IF(AND(Параметры!$B$9="да",G55="да"),0,1)</x:f>
      </x:c>
      <x:c r="L55" s="11">
        <x:f>IF(K55=0,"—",1/K55)</x:f>
      </x:c>
      <x:c r="M55" s="11">
        <x:f>IF(K55=0,"—",1/(K55*Параметры!$B$3))</x:f>
      </x:c>
      <x:c r="N55" s="12">
        <x:f>IF(K55=0,"—",1/(K55*Параметры!$B$8))</x:f>
      </x:c>
    </x:row>
    <x:row r="56" spans="1:14">
      <x:c r="A56" s="1" t="s">
        <x:v>208</x:v>
      </x:c>
      <x:c r="B56" s="1" t="s">
        <x:v>209</x:v>
      </x:c>
      <x:c r="C56" s="1" t="s">
        <x:v>210</x:v>
      </x:c>
      <x:c r="D56" s="4" t="s">
        <x:v>20</x:v>
      </x:c>
      <x:c r="E56" s="1" t="s">
        <x:v>41</x:v>
      </x:c>
      <x:c r="F56" s="1" t="s">
        <x:v>42</x:v>
      </x:c>
      <x:c r="G56" s="1" t="s">
        <x:v>42</x:v>
      </x:c>
      <x:c r="H56" s="1" t="s">
        <x:v>211</x:v>
      </x:c>
      <x:c r="I56" s="6">
        <x:f>IFERROR(INDEX(Уровни!$B$2:$B$7,MATCH(D56,Уровни!$A$2:$A$7,0)),0)</x:f>
      </x:c>
      <x:c r="J56" s="9">
        <x:f>IF(I56=0,0,I56/SUMIFS($I$2:$I$174,$C$2:$C$174,C56))</x:f>
      </x:c>
      <x:c r="K56" s="10">
        <x:f>J56*IFERROR(INDEX(Категории!$C$2:$C$20,MATCH(C56,Категории!$A$2:$A$20,0)),0)*IF(AND(Параметры!$B$9="да",G56="да"),0,1)</x:f>
      </x:c>
      <x:c r="L56" s="11">
        <x:f>IF(K56=0,"—",1/K56)</x:f>
      </x:c>
      <x:c r="M56" s="11">
        <x:f>IF(K56=0,"—",1/(K56*Параметры!$B$3))</x:f>
      </x:c>
      <x:c r="N56" s="12">
        <x:f>IF(K56=0,"—",1/(K56*Параметры!$B$8))</x:f>
      </x:c>
    </x:row>
    <x:row r="57" spans="1:14">
      <x:c r="A57" s="1" t="s">
        <x:v>212</x:v>
      </x:c>
      <x:c r="B57" s="1" t="s">
        <x:v>213</x:v>
      </x:c>
      <x:c r="C57" s="1" t="s">
        <x:v>210</x:v>
      </x:c>
      <x:c r="D57" s="4" t="s">
        <x:v>20</x:v>
      </x:c>
      <x:c r="E57" s="1" t="s">
        <x:v>41</x:v>
      </x:c>
      <x:c r="F57" s="1" t="s">
        <x:v>42</x:v>
      </x:c>
      <x:c r="G57" s="1" t="s">
        <x:v>42</x:v>
      </x:c>
      <x:c r="H57" s="1" t="s">
        <x:v>214</x:v>
      </x:c>
      <x:c r="I57" s="6">
        <x:f>IFERROR(INDEX(Уровни!$B$2:$B$7,MATCH(D57,Уровни!$A$2:$A$7,0)),0)</x:f>
      </x:c>
      <x:c r="J57" s="9">
        <x:f>IF(I57=0,0,I57/SUMIFS($I$2:$I$174,$C$2:$C$174,C57))</x:f>
      </x:c>
      <x:c r="K57" s="10">
        <x:f>J57*IFERROR(INDEX(Категории!$C$2:$C$20,MATCH(C57,Категории!$A$2:$A$20,0)),0)*IF(AND(Параметры!$B$9="да",G57="да"),0,1)</x:f>
      </x:c>
      <x:c r="L57" s="11">
        <x:f>IF(K57=0,"—",1/K57)</x:f>
      </x:c>
      <x:c r="M57" s="11">
        <x:f>IF(K57=0,"—",1/(K57*Параметры!$B$3))</x:f>
      </x:c>
      <x:c r="N57" s="12">
        <x:f>IF(K57=0,"—",1/(K57*Параметры!$B$8))</x:f>
      </x:c>
    </x:row>
    <x:row r="58" spans="1:14">
      <x:c r="A58" s="1" t="s">
        <x:v>215</x:v>
      </x:c>
      <x:c r="B58" s="1" t="s">
        <x:v>216</x:v>
      </x:c>
      <x:c r="C58" s="1" t="s">
        <x:v>210</x:v>
      </x:c>
      <x:c r="D58" s="4" t="s">
        <x:v>20</x:v>
      </x:c>
      <x:c r="E58" s="1" t="s">
        <x:v>41</x:v>
      </x:c>
      <x:c r="F58" s="1" t="s">
        <x:v>42</x:v>
      </x:c>
      <x:c r="G58" s="1" t="s">
        <x:v>42</x:v>
      </x:c>
      <x:c r="H58" s="1" t="s">
        <x:v>217</x:v>
      </x:c>
      <x:c r="I58" s="6">
        <x:f>IFERROR(INDEX(Уровни!$B$2:$B$7,MATCH(D58,Уровни!$A$2:$A$7,0)),0)</x:f>
      </x:c>
      <x:c r="J58" s="9">
        <x:f>IF(I58=0,0,I58/SUMIFS($I$2:$I$174,$C$2:$C$174,C58))</x:f>
      </x:c>
      <x:c r="K58" s="10">
        <x:f>J58*IFERROR(INDEX(Категории!$C$2:$C$20,MATCH(C58,Категории!$A$2:$A$20,0)),0)*IF(AND(Параметры!$B$9="да",G58="да"),0,1)</x:f>
      </x:c>
      <x:c r="L58" s="11">
        <x:f>IF(K58=0,"—",1/K58)</x:f>
      </x:c>
      <x:c r="M58" s="11">
        <x:f>IF(K58=0,"—",1/(K58*Параметры!$B$3))</x:f>
      </x:c>
      <x:c r="N58" s="12">
        <x:f>IF(K58=0,"—",1/(K58*Параметры!$B$8))</x:f>
      </x:c>
    </x:row>
    <x:row r="59" spans="1:14">
      <x:c r="A59" s="1" t="s">
        <x:v>218</x:v>
      </x:c>
      <x:c r="B59" s="1" t="s">
        <x:v>219</x:v>
      </x:c>
      <x:c r="C59" s="1" t="s">
        <x:v>210</x:v>
      </x:c>
      <x:c r="D59" s="4" t="s">
        <x:v>20</x:v>
      </x:c>
      <x:c r="E59" s="1" t="s">
        <x:v>41</x:v>
      </x:c>
      <x:c r="F59" s="1" t="s">
        <x:v>42</x:v>
      </x:c>
      <x:c r="G59" s="1" t="s">
        <x:v>42</x:v>
      </x:c>
      <x:c r="H59" s="1" t="s">
        <x:v>220</x:v>
      </x:c>
      <x:c r="I59" s="6">
        <x:f>IFERROR(INDEX(Уровни!$B$2:$B$7,MATCH(D59,Уровни!$A$2:$A$7,0)),0)</x:f>
      </x:c>
      <x:c r="J59" s="9">
        <x:f>IF(I59=0,0,I59/SUMIFS($I$2:$I$174,$C$2:$C$174,C59))</x:f>
      </x:c>
      <x:c r="K59" s="10">
        <x:f>J59*IFERROR(INDEX(Категории!$C$2:$C$20,MATCH(C59,Категории!$A$2:$A$20,0)),0)*IF(AND(Параметры!$B$9="да",G59="да"),0,1)</x:f>
      </x:c>
      <x:c r="L59" s="11">
        <x:f>IF(K59=0,"—",1/K59)</x:f>
      </x:c>
      <x:c r="M59" s="11">
        <x:f>IF(K59=0,"—",1/(K59*Параметры!$B$3))</x:f>
      </x:c>
      <x:c r="N59" s="12">
        <x:f>IF(K59=0,"—",1/(K59*Параметры!$B$8))</x:f>
      </x:c>
    </x:row>
    <x:row r="60" spans="1:14">
      <x:c r="A60" s="1" t="s">
        <x:v>221</x:v>
      </x:c>
      <x:c r="B60" s="1" t="s">
        <x:v>222</x:v>
      </x:c>
      <x:c r="C60" s="1" t="s">
        <x:v>210</x:v>
      </x:c>
      <x:c r="D60" s="4" t="s">
        <x:v>20</x:v>
      </x:c>
      <x:c r="E60" s="1" t="s">
        <x:v>41</x:v>
      </x:c>
      <x:c r="F60" s="1" t="s">
        <x:v>42</x:v>
      </x:c>
      <x:c r="G60" s="1" t="s">
        <x:v>42</x:v>
      </x:c>
      <x:c r="H60" s="1" t="s">
        <x:v>223</x:v>
      </x:c>
      <x:c r="I60" s="6">
        <x:f>IFERROR(INDEX(Уровни!$B$2:$B$7,MATCH(D60,Уровни!$A$2:$A$7,0)),0)</x:f>
      </x:c>
      <x:c r="J60" s="9">
        <x:f>IF(I60=0,0,I60/SUMIFS($I$2:$I$174,$C$2:$C$174,C60))</x:f>
      </x:c>
      <x:c r="K60" s="10">
        <x:f>J60*IFERROR(INDEX(Категории!$C$2:$C$20,MATCH(C60,Категории!$A$2:$A$20,0)),0)*IF(AND(Параметры!$B$9="да",G60="да"),0,1)</x:f>
      </x:c>
      <x:c r="L60" s="11">
        <x:f>IF(K60=0,"—",1/K60)</x:f>
      </x:c>
      <x:c r="M60" s="11">
        <x:f>IF(K60=0,"—",1/(K60*Параметры!$B$3))</x:f>
      </x:c>
      <x:c r="N60" s="12">
        <x:f>IF(K60=0,"—",1/(K60*Параметры!$B$8))</x:f>
      </x:c>
    </x:row>
    <x:row r="61" spans="1:14">
      <x:c r="A61" s="1" t="s">
        <x:v>224</x:v>
      </x:c>
      <x:c r="B61" s="1" t="s">
        <x:v>225</x:v>
      </x:c>
      <x:c r="C61" s="1" t="s">
        <x:v>210</x:v>
      </x:c>
      <x:c r="D61" s="4" t="s">
        <x:v>20</x:v>
      </x:c>
      <x:c r="E61" s="1" t="s">
        <x:v>41</x:v>
      </x:c>
      <x:c r="F61" s="1" t="s">
        <x:v>42</x:v>
      </x:c>
      <x:c r="G61" s="1" t="s">
        <x:v>64</x:v>
      </x:c>
      <x:c r="H61" s="1" t="s">
        <x:v>226</x:v>
      </x:c>
      <x:c r="I61" s="6">
        <x:f>IFERROR(INDEX(Уровни!$B$2:$B$7,MATCH(D61,Уровни!$A$2:$A$7,0)),0)</x:f>
      </x:c>
      <x:c r="J61" s="9">
        <x:f>IF(I61=0,0,I61/SUMIFS($I$2:$I$174,$C$2:$C$174,C61))</x:f>
      </x:c>
      <x:c r="K61" s="10">
        <x:f>J61*IFERROR(INDEX(Категории!$C$2:$C$20,MATCH(C61,Категории!$A$2:$A$20,0)),0)*IF(AND(Параметры!$B$9="да",G61="да"),0,1)</x:f>
      </x:c>
      <x:c r="L61" s="11">
        <x:f>IF(K61=0,"—",1/K61)</x:f>
      </x:c>
      <x:c r="M61" s="11">
        <x:f>IF(K61=0,"—",1/(K61*Параметры!$B$3))</x:f>
      </x:c>
      <x:c r="N61" s="12">
        <x:f>IF(K61=0,"—",1/(K61*Параметры!$B$8))</x:f>
      </x:c>
    </x:row>
    <x:row r="62" spans="1:14">
      <x:c r="A62" s="1" t="s">
        <x:v>227</x:v>
      </x:c>
      <x:c r="B62" s="1" t="s">
        <x:v>228</x:v>
      </x:c>
      <x:c r="C62" s="1" t="s">
        <x:v>210</x:v>
      </x:c>
      <x:c r="D62" s="4" t="s">
        <x:v>20</x:v>
      </x:c>
      <x:c r="E62" s="1" t="s">
        <x:v>41</x:v>
      </x:c>
      <x:c r="F62" s="1" t="s">
        <x:v>42</x:v>
      </x:c>
      <x:c r="G62" s="1" t="s">
        <x:v>64</x:v>
      </x:c>
      <x:c r="H62" s="1" t="s">
        <x:v>229</x:v>
      </x:c>
      <x:c r="I62" s="6">
        <x:f>IFERROR(INDEX(Уровни!$B$2:$B$7,MATCH(D62,Уровни!$A$2:$A$7,0)),0)</x:f>
      </x:c>
      <x:c r="J62" s="9">
        <x:f>IF(I62=0,0,I62/SUMIFS($I$2:$I$174,$C$2:$C$174,C62))</x:f>
      </x:c>
      <x:c r="K62" s="10">
        <x:f>J62*IFERROR(INDEX(Категории!$C$2:$C$20,MATCH(C62,Категории!$A$2:$A$20,0)),0)*IF(AND(Параметры!$B$9="да",G62="да"),0,1)</x:f>
      </x:c>
      <x:c r="L62" s="11">
        <x:f>IF(K62=0,"—",1/K62)</x:f>
      </x:c>
      <x:c r="M62" s="11">
        <x:f>IF(K62=0,"—",1/(K62*Параметры!$B$3))</x:f>
      </x:c>
      <x:c r="N62" s="12">
        <x:f>IF(K62=0,"—",1/(K62*Параметры!$B$8))</x:f>
      </x:c>
    </x:row>
    <x:row r="63" spans="1:14">
      <x:c r="A63" s="1" t="s">
        <x:v>230</x:v>
      </x:c>
      <x:c r="B63" s="1" t="s">
        <x:v>231</x:v>
      </x:c>
      <x:c r="C63" s="1" t="s">
        <x:v>210</x:v>
      </x:c>
      <x:c r="D63" s="4" t="s">
        <x:v>20</x:v>
      </x:c>
      <x:c r="E63" s="1" t="s">
        <x:v>41</x:v>
      </x:c>
      <x:c r="F63" s="1" t="s">
        <x:v>42</x:v>
      </x:c>
      <x:c r="G63" s="1" t="s">
        <x:v>42</x:v>
      </x:c>
      <x:c r="H63" s="1" t="s">
        <x:v>232</x:v>
      </x:c>
      <x:c r="I63" s="6">
        <x:f>IFERROR(INDEX(Уровни!$B$2:$B$7,MATCH(D63,Уровни!$A$2:$A$7,0)),0)</x:f>
      </x:c>
      <x:c r="J63" s="9">
        <x:f>IF(I63=0,0,I63/SUMIFS($I$2:$I$174,$C$2:$C$174,C63))</x:f>
      </x:c>
      <x:c r="K63" s="10">
        <x:f>J63*IFERROR(INDEX(Категории!$C$2:$C$20,MATCH(C63,Категории!$A$2:$A$20,0)),0)*IF(AND(Параметры!$B$9="да",G63="да"),0,1)</x:f>
      </x:c>
      <x:c r="L63" s="11">
        <x:f>IF(K63=0,"—",1/K63)</x:f>
      </x:c>
      <x:c r="M63" s="11">
        <x:f>IF(K63=0,"—",1/(K63*Параметры!$B$3))</x:f>
      </x:c>
      <x:c r="N63" s="12">
        <x:f>IF(K63=0,"—",1/(K63*Параметры!$B$8))</x:f>
      </x:c>
    </x:row>
    <x:row r="64" spans="1:14">
      <x:c r="A64" s="1" t="s">
        <x:v>233</x:v>
      </x:c>
      <x:c r="B64" s="1" t="s">
        <x:v>234</x:v>
      </x:c>
      <x:c r="C64" s="1" t="s">
        <x:v>210</x:v>
      </x:c>
      <x:c r="D64" s="4" t="s">
        <x:v>20</x:v>
      </x:c>
      <x:c r="E64" s="1" t="s">
        <x:v>41</x:v>
      </x:c>
      <x:c r="F64" s="1" t="s">
        <x:v>42</x:v>
      </x:c>
      <x:c r="G64" s="1" t="s">
        <x:v>42</x:v>
      </x:c>
      <x:c r="H64" s="1" t="s">
        <x:v>235</x:v>
      </x:c>
      <x:c r="I64" s="6">
        <x:f>IFERROR(INDEX(Уровни!$B$2:$B$7,MATCH(D64,Уровни!$A$2:$A$7,0)),0)</x:f>
      </x:c>
      <x:c r="J64" s="9">
        <x:f>IF(I64=0,0,I64/SUMIFS($I$2:$I$174,$C$2:$C$174,C64))</x:f>
      </x:c>
      <x:c r="K64" s="10">
        <x:f>J64*IFERROR(INDEX(Категории!$C$2:$C$20,MATCH(C64,Категории!$A$2:$A$20,0)),0)*IF(AND(Параметры!$B$9="да",G64="да"),0,1)</x:f>
      </x:c>
      <x:c r="L64" s="11">
        <x:f>IF(K64=0,"—",1/K64)</x:f>
      </x:c>
      <x:c r="M64" s="11">
        <x:f>IF(K64=0,"—",1/(K64*Параметры!$B$3))</x:f>
      </x:c>
      <x:c r="N64" s="12">
        <x:f>IF(K64=0,"—",1/(K64*Параметры!$B$8))</x:f>
      </x:c>
    </x:row>
    <x:row r="65" spans="1:14">
      <x:c r="A65" s="1" t="s">
        <x:v>236</x:v>
      </x:c>
      <x:c r="B65" s="1" t="s">
        <x:v>237</x:v>
      </x:c>
      <x:c r="C65" s="1" t="s">
        <x:v>210</x:v>
      </x:c>
      <x:c r="D65" s="4" t="s">
        <x:v>20</x:v>
      </x:c>
      <x:c r="E65" s="1" t="s">
        <x:v>41</x:v>
      </x:c>
      <x:c r="F65" s="1" t="s">
        <x:v>42</x:v>
      </x:c>
      <x:c r="G65" s="1" t="s">
        <x:v>42</x:v>
      </x:c>
      <x:c r="H65" s="1" t="s">
        <x:v>238</x:v>
      </x:c>
      <x:c r="I65" s="6">
        <x:f>IFERROR(INDEX(Уровни!$B$2:$B$7,MATCH(D65,Уровни!$A$2:$A$7,0)),0)</x:f>
      </x:c>
      <x:c r="J65" s="9">
        <x:f>IF(I65=0,0,I65/SUMIFS($I$2:$I$174,$C$2:$C$174,C65))</x:f>
      </x:c>
      <x:c r="K65" s="10">
        <x:f>J65*IFERROR(INDEX(Категории!$C$2:$C$20,MATCH(C65,Категории!$A$2:$A$20,0)),0)*IF(AND(Параметры!$B$9="да",G65="да"),0,1)</x:f>
      </x:c>
      <x:c r="L65" s="11">
        <x:f>IF(K65=0,"—",1/K65)</x:f>
      </x:c>
      <x:c r="M65" s="11">
        <x:f>IF(K65=0,"—",1/(K65*Параметры!$B$3))</x:f>
      </x:c>
      <x:c r="N65" s="12">
        <x:f>IF(K65=0,"—",1/(K65*Параметры!$B$8))</x:f>
      </x:c>
    </x:row>
    <x:row r="66" spans="1:14">
      <x:c r="A66" s="1" t="s">
        <x:v>239</x:v>
      </x:c>
      <x:c r="B66" s="1" t="s">
        <x:v>240</x:v>
      </x:c>
      <x:c r="C66" s="1" t="s">
        <x:v>210</x:v>
      </x:c>
      <x:c r="D66" s="4" t="s">
        <x:v>20</x:v>
      </x:c>
      <x:c r="E66" s="1" t="s">
        <x:v>41</x:v>
      </x:c>
      <x:c r="F66" s="1" t="s">
        <x:v>42</x:v>
      </x:c>
      <x:c r="G66" s="1" t="s">
        <x:v>64</x:v>
      </x:c>
      <x:c r="H66" s="1" t="s">
        <x:v>241</x:v>
      </x:c>
      <x:c r="I66" s="6">
        <x:f>IFERROR(INDEX(Уровни!$B$2:$B$7,MATCH(D66,Уровни!$A$2:$A$7,0)),0)</x:f>
      </x:c>
      <x:c r="J66" s="9">
        <x:f>IF(I66=0,0,I66/SUMIFS($I$2:$I$174,$C$2:$C$174,C66))</x:f>
      </x:c>
      <x:c r="K66" s="10">
        <x:f>J66*IFERROR(INDEX(Категории!$C$2:$C$20,MATCH(C66,Категории!$A$2:$A$20,0)),0)*IF(AND(Параметры!$B$9="да",G66="да"),0,1)</x:f>
      </x:c>
      <x:c r="L66" s="11">
        <x:f>IF(K66=0,"—",1/K66)</x:f>
      </x:c>
      <x:c r="M66" s="11">
        <x:f>IF(K66=0,"—",1/(K66*Параметры!$B$3))</x:f>
      </x:c>
      <x:c r="N66" s="12">
        <x:f>IF(K66=0,"—",1/(K66*Параметры!$B$8))</x:f>
      </x:c>
    </x:row>
    <x:row r="67" spans="1:14">
      <x:c r="A67" s="1" t="s">
        <x:v>242</x:v>
      </x:c>
      <x:c r="B67" s="1" t="s">
        <x:v>243</x:v>
      </x:c>
      <x:c r="C67" s="1" t="s">
        <x:v>210</x:v>
      </x:c>
      <x:c r="D67" s="4" t="s">
        <x:v>20</x:v>
      </x:c>
      <x:c r="E67" s="1" t="s">
        <x:v>41</x:v>
      </x:c>
      <x:c r="F67" s="1" t="s">
        <x:v>42</x:v>
      </x:c>
      <x:c r="G67" s="1" t="s">
        <x:v>42</x:v>
      </x:c>
      <x:c r="H67" s="1" t="s">
        <x:v>244</x:v>
      </x:c>
      <x:c r="I67" s="6">
        <x:f>IFERROR(INDEX(Уровни!$B$2:$B$7,MATCH(D67,Уровни!$A$2:$A$7,0)),0)</x:f>
      </x:c>
      <x:c r="J67" s="9">
        <x:f>IF(I67=0,0,I67/SUMIFS($I$2:$I$174,$C$2:$C$174,C67))</x:f>
      </x:c>
      <x:c r="K67" s="10">
        <x:f>J67*IFERROR(INDEX(Категории!$C$2:$C$20,MATCH(C67,Категории!$A$2:$A$20,0)),0)*IF(AND(Параметры!$B$9="да",G67="да"),0,1)</x:f>
      </x:c>
      <x:c r="L67" s="11">
        <x:f>IF(K67=0,"—",1/K67)</x:f>
      </x:c>
      <x:c r="M67" s="11">
        <x:f>IF(K67=0,"—",1/(K67*Параметры!$B$3))</x:f>
      </x:c>
      <x:c r="N67" s="12">
        <x:f>IF(K67=0,"—",1/(K67*Параметры!$B$8))</x:f>
      </x:c>
    </x:row>
    <x:row r="68" spans="1:14">
      <x:c r="A68" s="1" t="s">
        <x:v>245</x:v>
      </x:c>
      <x:c r="B68" s="1" t="s">
        <x:v>246</x:v>
      </x:c>
      <x:c r="C68" s="1" t="s">
        <x:v>210</x:v>
      </x:c>
      <x:c r="D68" s="4" t="s">
        <x:v>20</x:v>
      </x:c>
      <x:c r="E68" s="1" t="s">
        <x:v>41</x:v>
      </x:c>
      <x:c r="F68" s="1" t="s">
        <x:v>42</x:v>
      </x:c>
      <x:c r="G68" s="1" t="s">
        <x:v>42</x:v>
      </x:c>
      <x:c r="H68" s="1" t="s">
        <x:v>247</x:v>
      </x:c>
      <x:c r="I68" s="6">
        <x:f>IFERROR(INDEX(Уровни!$B$2:$B$7,MATCH(D68,Уровни!$A$2:$A$7,0)),0)</x:f>
      </x:c>
      <x:c r="J68" s="9">
        <x:f>IF(I68=0,0,I68/SUMIFS($I$2:$I$174,$C$2:$C$174,C68))</x:f>
      </x:c>
      <x:c r="K68" s="10">
        <x:f>J68*IFERROR(INDEX(Категории!$C$2:$C$20,MATCH(C68,Категории!$A$2:$A$20,0)),0)*IF(AND(Параметры!$B$9="да",G68="да"),0,1)</x:f>
      </x:c>
      <x:c r="L68" s="11">
        <x:f>IF(K68=0,"—",1/K68)</x:f>
      </x:c>
      <x:c r="M68" s="11">
        <x:f>IF(K68=0,"—",1/(K68*Параметры!$B$3))</x:f>
      </x:c>
      <x:c r="N68" s="12">
        <x:f>IF(K68=0,"—",1/(K68*Параметры!$B$8))</x:f>
      </x:c>
    </x:row>
    <x:row r="69" spans="1:14">
      <x:c r="A69" s="1" t="s">
        <x:v>248</x:v>
      </x:c>
      <x:c r="B69" s="1" t="s">
        <x:v>249</x:v>
      </x:c>
      <x:c r="C69" s="1" t="s">
        <x:v>210</x:v>
      </x:c>
      <x:c r="D69" s="4" t="s">
        <x:v>21</x:v>
      </x:c>
      <x:c r="E69" s="1" t="s">
        <x:v>41</x:v>
      </x:c>
      <x:c r="F69" s="1" t="s">
        <x:v>42</x:v>
      </x:c>
      <x:c r="G69" s="1" t="s">
        <x:v>42</x:v>
      </x:c>
      <x:c r="H69" s="1" t="s">
        <x:v>250</x:v>
      </x:c>
      <x:c r="I69" s="6">
        <x:f>IFERROR(INDEX(Уровни!$B$2:$B$7,MATCH(D69,Уровни!$A$2:$A$7,0)),0)</x:f>
      </x:c>
      <x:c r="J69" s="9">
        <x:f>IF(I69=0,0,I69/SUMIFS($I$2:$I$174,$C$2:$C$174,C69))</x:f>
      </x:c>
      <x:c r="K69" s="10">
        <x:f>J69*IFERROR(INDEX(Категории!$C$2:$C$20,MATCH(C69,Категории!$A$2:$A$20,0)),0)*IF(AND(Параметры!$B$9="да",G69="да"),0,1)</x:f>
      </x:c>
      <x:c r="L69" s="11">
        <x:f>IF(K69=0,"—",1/K69)</x:f>
      </x:c>
      <x:c r="M69" s="11">
        <x:f>IF(K69=0,"—",1/(K69*Параметры!$B$3))</x:f>
      </x:c>
      <x:c r="N69" s="12">
        <x:f>IF(K69=0,"—",1/(K69*Параметры!$B$8))</x:f>
      </x:c>
    </x:row>
    <x:row r="70" spans="1:14">
      <x:c r="A70" s="1" t="s">
        <x:v>251</x:v>
      </x:c>
      <x:c r="B70" s="1" t="s">
        <x:v>252</x:v>
      </x:c>
      <x:c r="C70" s="1" t="s">
        <x:v>210</x:v>
      </x:c>
      <x:c r="D70" s="4" t="s">
        <x:v>21</x:v>
      </x:c>
      <x:c r="E70" s="1" t="s">
        <x:v>41</x:v>
      </x:c>
      <x:c r="F70" s="1" t="s">
        <x:v>42</x:v>
      </x:c>
      <x:c r="G70" s="1" t="s">
        <x:v>64</x:v>
      </x:c>
      <x:c r="H70" s="1" t="s">
        <x:v>253</x:v>
      </x:c>
      <x:c r="I70" s="6">
        <x:f>IFERROR(INDEX(Уровни!$B$2:$B$7,MATCH(D70,Уровни!$A$2:$A$7,0)),0)</x:f>
      </x:c>
      <x:c r="J70" s="9">
        <x:f>IF(I70=0,0,I70/SUMIFS($I$2:$I$174,$C$2:$C$174,C70))</x:f>
      </x:c>
      <x:c r="K70" s="10">
        <x:f>J70*IFERROR(INDEX(Категории!$C$2:$C$20,MATCH(C70,Категории!$A$2:$A$20,0)),0)*IF(AND(Параметры!$B$9="да",G70="да"),0,1)</x:f>
      </x:c>
      <x:c r="L70" s="11">
        <x:f>IF(K70=0,"—",1/K70)</x:f>
      </x:c>
      <x:c r="M70" s="11">
        <x:f>IF(K70=0,"—",1/(K70*Параметры!$B$3))</x:f>
      </x:c>
      <x:c r="N70" s="12">
        <x:f>IF(K70=0,"—",1/(K70*Параметры!$B$8))</x:f>
      </x:c>
    </x:row>
    <x:row r="71" spans="1:14">
      <x:c r="A71" s="1" t="s">
        <x:v>254</x:v>
      </x:c>
      <x:c r="B71" s="1" t="s">
        <x:v>255</x:v>
      </x:c>
      <x:c r="C71" s="1" t="s">
        <x:v>210</x:v>
      </x:c>
      <x:c r="D71" s="4" t="s">
        <x:v>21</x:v>
      </x:c>
      <x:c r="E71" s="1" t="s">
        <x:v>41</x:v>
      </x:c>
      <x:c r="F71" s="1" t="s">
        <x:v>42</x:v>
      </x:c>
      <x:c r="G71" s="1" t="s">
        <x:v>64</x:v>
      </x:c>
      <x:c r="H71" s="1" t="s">
        <x:v>256</x:v>
      </x:c>
      <x:c r="I71" s="6">
        <x:f>IFERROR(INDEX(Уровни!$B$2:$B$7,MATCH(D71,Уровни!$A$2:$A$7,0)),0)</x:f>
      </x:c>
      <x:c r="J71" s="9">
        <x:f>IF(I71=0,0,I71/SUMIFS($I$2:$I$174,$C$2:$C$174,C71))</x:f>
      </x:c>
      <x:c r="K71" s="10">
        <x:f>J71*IFERROR(INDEX(Категории!$C$2:$C$20,MATCH(C71,Категории!$A$2:$A$20,0)),0)*IF(AND(Параметры!$B$9="да",G71="да"),0,1)</x:f>
      </x:c>
      <x:c r="L71" s="11">
        <x:f>IF(K71=0,"—",1/K71)</x:f>
      </x:c>
      <x:c r="M71" s="11">
        <x:f>IF(K71=0,"—",1/(K71*Параметры!$B$3))</x:f>
      </x:c>
      <x:c r="N71" s="12">
        <x:f>IF(K71=0,"—",1/(K71*Параметры!$B$8))</x:f>
      </x:c>
    </x:row>
    <x:row r="72" spans="1:14">
      <x:c r="A72" s="1" t="s">
        <x:v>257</x:v>
      </x:c>
      <x:c r="B72" s="1" t="s">
        <x:v>258</x:v>
      </x:c>
      <x:c r="C72" s="1" t="s">
        <x:v>210</x:v>
      </x:c>
      <x:c r="D72" s="4" t="s">
        <x:v>21</x:v>
      </x:c>
      <x:c r="E72" s="1" t="s">
        <x:v>41</x:v>
      </x:c>
      <x:c r="F72" s="1" t="s">
        <x:v>42</x:v>
      </x:c>
      <x:c r="G72" s="1" t="s">
        <x:v>42</x:v>
      </x:c>
      <x:c r="H72" s="1" t="s">
        <x:v>259</x:v>
      </x:c>
      <x:c r="I72" s="6">
        <x:f>IFERROR(INDEX(Уровни!$B$2:$B$7,MATCH(D72,Уровни!$A$2:$A$7,0)),0)</x:f>
      </x:c>
      <x:c r="J72" s="9">
        <x:f>IF(I72=0,0,I72/SUMIFS($I$2:$I$174,$C$2:$C$174,C72))</x:f>
      </x:c>
      <x:c r="K72" s="10">
        <x:f>J72*IFERROR(INDEX(Категории!$C$2:$C$20,MATCH(C72,Категории!$A$2:$A$20,0)),0)*IF(AND(Параметры!$B$9="да",G72="да"),0,1)</x:f>
      </x:c>
      <x:c r="L72" s="11">
        <x:f>IF(K72=0,"—",1/K72)</x:f>
      </x:c>
      <x:c r="M72" s="11">
        <x:f>IF(K72=0,"—",1/(K72*Параметры!$B$3))</x:f>
      </x:c>
      <x:c r="N72" s="12">
        <x:f>IF(K72=0,"—",1/(K72*Параметры!$B$8))</x:f>
      </x:c>
    </x:row>
    <x:row r="73" spans="1:14">
      <x:c r="A73" s="1" t="s">
        <x:v>260</x:v>
      </x:c>
      <x:c r="B73" s="1" t="s">
        <x:v>261</x:v>
      </x:c>
      <x:c r="C73" s="1" t="s">
        <x:v>210</x:v>
      </x:c>
      <x:c r="D73" s="4" t="s">
        <x:v>21</x:v>
      </x:c>
      <x:c r="E73" s="1" t="s">
        <x:v>71</x:v>
      </x:c>
      <x:c r="F73" s="1" t="s">
        <x:v>42</x:v>
      </x:c>
      <x:c r="G73" s="1" t="s">
        <x:v>64</x:v>
      </x:c>
      <x:c r="H73" s="1" t="s">
        <x:v>262</x:v>
      </x:c>
      <x:c r="I73" s="6">
        <x:f>IFERROR(INDEX(Уровни!$B$2:$B$7,MATCH(D73,Уровни!$A$2:$A$7,0)),0)</x:f>
      </x:c>
      <x:c r="J73" s="9">
        <x:f>IF(I73=0,0,I73/SUMIFS($I$2:$I$174,$C$2:$C$174,C73))</x:f>
      </x:c>
      <x:c r="K73" s="10">
        <x:f>J73*IFERROR(INDEX(Категории!$C$2:$C$20,MATCH(C73,Категории!$A$2:$A$20,0)),0)*IF(AND(Параметры!$B$9="да",G73="да"),0,1)</x:f>
      </x:c>
      <x:c r="L73" s="11">
        <x:f>IF(K73=0,"—",1/K73)</x:f>
      </x:c>
      <x:c r="M73" s="11">
        <x:f>IF(K73=0,"—",1/(K73*Параметры!$B$3))</x:f>
      </x:c>
      <x:c r="N73" s="12">
        <x:f>IF(K73=0,"—",1/(K73*Параметры!$B$8))</x:f>
      </x:c>
    </x:row>
    <x:row r="74" spans="1:14">
      <x:c r="A74" s="1" t="s">
        <x:v>263</x:v>
      </x:c>
      <x:c r="B74" s="1" t="s">
        <x:v>264</x:v>
      </x:c>
      <x:c r="C74" s="1" t="s">
        <x:v>210</x:v>
      </x:c>
      <x:c r="D74" s="4" t="s">
        <x:v>21</x:v>
      </x:c>
      <x:c r="E74" s="1" t="s">
        <x:v>71</x:v>
      </x:c>
      <x:c r="F74" s="1" t="s">
        <x:v>42</x:v>
      </x:c>
      <x:c r="G74" s="1" t="s">
        <x:v>42</x:v>
      </x:c>
      <x:c r="H74" s="1" t="s">
        <x:v>265</x:v>
      </x:c>
      <x:c r="I74" s="6">
        <x:f>IFERROR(INDEX(Уровни!$B$2:$B$7,MATCH(D74,Уровни!$A$2:$A$7,0)),0)</x:f>
      </x:c>
      <x:c r="J74" s="9">
        <x:f>IF(I74=0,0,I74/SUMIFS($I$2:$I$174,$C$2:$C$174,C74))</x:f>
      </x:c>
      <x:c r="K74" s="10">
        <x:f>J74*IFERROR(INDEX(Категории!$C$2:$C$20,MATCH(C74,Категории!$A$2:$A$20,0)),0)*IF(AND(Параметры!$B$9="да",G74="да"),0,1)</x:f>
      </x:c>
      <x:c r="L74" s="11">
        <x:f>IF(K74=0,"—",1/K74)</x:f>
      </x:c>
      <x:c r="M74" s="11">
        <x:f>IF(K74=0,"—",1/(K74*Параметры!$B$3))</x:f>
      </x:c>
      <x:c r="N74" s="12">
        <x:f>IF(K74=0,"—",1/(K74*Параметры!$B$8))</x:f>
      </x:c>
    </x:row>
    <x:row r="75" spans="1:14">
      <x:c r="A75" s="1" t="s">
        <x:v>266</x:v>
      </x:c>
      <x:c r="B75" s="1" t="s">
        <x:v>267</x:v>
      </x:c>
      <x:c r="C75" s="1" t="s">
        <x:v>210</x:v>
      </x:c>
      <x:c r="D75" s="4" t="s">
        <x:v>21</x:v>
      </x:c>
      <x:c r="E75" s="1" t="s">
        <x:v>71</x:v>
      </x:c>
      <x:c r="F75" s="1" t="s">
        <x:v>42</x:v>
      </x:c>
      <x:c r="G75" s="1" t="s">
        <x:v>42</x:v>
      </x:c>
      <x:c r="H75" s="1" t="s">
        <x:v>268</x:v>
      </x:c>
      <x:c r="I75" s="6">
        <x:f>IFERROR(INDEX(Уровни!$B$2:$B$7,MATCH(D75,Уровни!$A$2:$A$7,0)),0)</x:f>
      </x:c>
      <x:c r="J75" s="9">
        <x:f>IF(I75=0,0,I75/SUMIFS($I$2:$I$174,$C$2:$C$174,C75))</x:f>
      </x:c>
      <x:c r="K75" s="10">
        <x:f>J75*IFERROR(INDEX(Категории!$C$2:$C$20,MATCH(C75,Категории!$A$2:$A$20,0)),0)*IF(AND(Параметры!$B$9="да",G75="да"),0,1)</x:f>
      </x:c>
      <x:c r="L75" s="11">
        <x:f>IF(K75=0,"—",1/K75)</x:f>
      </x:c>
      <x:c r="M75" s="11">
        <x:f>IF(K75=0,"—",1/(K75*Параметры!$B$3))</x:f>
      </x:c>
      <x:c r="N75" s="12">
        <x:f>IF(K75=0,"—",1/(K75*Параметры!$B$8))</x:f>
      </x:c>
    </x:row>
    <x:row r="76" spans="1:14">
      <x:c r="A76" s="1" t="s">
        <x:v>269</x:v>
      </x:c>
      <x:c r="B76" s="1" t="s">
        <x:v>270</x:v>
      </x:c>
      <x:c r="C76" s="1" t="s">
        <x:v>210</x:v>
      </x:c>
      <x:c r="D76" s="4" t="s">
        <x:v>21</x:v>
      </x:c>
      <x:c r="E76" s="1" t="s">
        <x:v>71</x:v>
      </x:c>
      <x:c r="F76" s="1" t="s">
        <x:v>64</x:v>
      </x:c>
      <x:c r="G76" s="1" t="s">
        <x:v>42</x:v>
      </x:c>
      <x:c r="H76" s="1" t="s">
        <x:v>271</x:v>
      </x:c>
      <x:c r="I76" s="6">
        <x:f>IFERROR(INDEX(Уровни!$B$2:$B$7,MATCH(D76,Уровни!$A$2:$A$7,0)),0)</x:f>
      </x:c>
      <x:c r="J76" s="9">
        <x:f>IF(I76=0,0,I76/SUMIFS($I$2:$I$174,$C$2:$C$174,C76))</x:f>
      </x:c>
      <x:c r="K76" s="10">
        <x:f>J76*IFERROR(INDEX(Категории!$C$2:$C$20,MATCH(C76,Категории!$A$2:$A$20,0)),0)*IF(AND(Параметры!$B$9="да",G76="да"),0,1)</x:f>
      </x:c>
      <x:c r="L76" s="11">
        <x:f>IF(K76=0,"—",1/K76)</x:f>
      </x:c>
      <x:c r="M76" s="11">
        <x:f>IF(K76=0,"—",1/(K76*Параметры!$B$3))</x:f>
      </x:c>
      <x:c r="N76" s="12">
        <x:f>IF(K76=0,"—",1/(K76*Параметры!$B$8))</x:f>
      </x:c>
    </x:row>
    <x:row r="77" spans="1:14">
      <x:c r="A77" s="1" t="s">
        <x:v>272</x:v>
      </x:c>
      <x:c r="B77" s="1" t="s">
        <x:v>273</x:v>
      </x:c>
      <x:c r="C77" s="1" t="s">
        <x:v>210</x:v>
      </x:c>
      <x:c r="D77" s="4" t="s">
        <x:v>21</x:v>
      </x:c>
      <x:c r="E77" s="1" t="s">
        <x:v>71</x:v>
      </x:c>
      <x:c r="F77" s="1" t="s">
        <x:v>64</x:v>
      </x:c>
      <x:c r="G77" s="1" t="s">
        <x:v>42</x:v>
      </x:c>
      <x:c r="H77" s="1" t="s">
        <x:v>274</x:v>
      </x:c>
      <x:c r="I77" s="6">
        <x:f>IFERROR(INDEX(Уровни!$B$2:$B$7,MATCH(D77,Уровни!$A$2:$A$7,0)),0)</x:f>
      </x:c>
      <x:c r="J77" s="9">
        <x:f>IF(I77=0,0,I77/SUMIFS($I$2:$I$174,$C$2:$C$174,C77))</x:f>
      </x:c>
      <x:c r="K77" s="10">
        <x:f>J77*IFERROR(INDEX(Категории!$C$2:$C$20,MATCH(C77,Категории!$A$2:$A$20,0)),0)*IF(AND(Параметры!$B$9="да",G77="да"),0,1)</x:f>
      </x:c>
      <x:c r="L77" s="11">
        <x:f>IF(K77=0,"—",1/K77)</x:f>
      </x:c>
      <x:c r="M77" s="11">
        <x:f>IF(K77=0,"—",1/(K77*Параметры!$B$3))</x:f>
      </x:c>
      <x:c r="N77" s="12">
        <x:f>IF(K77=0,"—",1/(K77*Параметры!$B$8))</x:f>
      </x:c>
    </x:row>
    <x:row r="78" spans="1:14">
      <x:c r="A78" s="1" t="s">
        <x:v>275</x:v>
      </x:c>
      <x:c r="B78" s="1" t="s">
        <x:v>276</x:v>
      </x:c>
      <x:c r="C78" s="1" t="s">
        <x:v>210</x:v>
      </x:c>
      <x:c r="D78" s="4" t="s">
        <x:v>21</x:v>
      </x:c>
      <x:c r="E78" s="1" t="s">
        <x:v>71</x:v>
      </x:c>
      <x:c r="F78" s="1" t="s">
        <x:v>64</x:v>
      </x:c>
      <x:c r="G78" s="1" t="s">
        <x:v>42</x:v>
      </x:c>
      <x:c r="H78" s="1" t="s">
        <x:v>277</x:v>
      </x:c>
      <x:c r="I78" s="6">
        <x:f>IFERROR(INDEX(Уровни!$B$2:$B$7,MATCH(D78,Уровни!$A$2:$A$7,0)),0)</x:f>
      </x:c>
      <x:c r="J78" s="9">
        <x:f>IF(I78=0,0,I78/SUMIFS($I$2:$I$174,$C$2:$C$174,C78))</x:f>
      </x:c>
      <x:c r="K78" s="10">
        <x:f>J78*IFERROR(INDEX(Категории!$C$2:$C$20,MATCH(C78,Категории!$A$2:$A$20,0)),0)*IF(AND(Параметры!$B$9="да",G78="да"),0,1)</x:f>
      </x:c>
      <x:c r="L78" s="11">
        <x:f>IF(K78=0,"—",1/K78)</x:f>
      </x:c>
      <x:c r="M78" s="11">
        <x:f>IF(K78=0,"—",1/(K78*Параметры!$B$3))</x:f>
      </x:c>
      <x:c r="N78" s="12">
        <x:f>IF(K78=0,"—",1/(K78*Параметры!$B$8))</x:f>
      </x:c>
    </x:row>
    <x:row r="79" spans="1:14">
      <x:c r="A79" s="1" t="s">
        <x:v>278</x:v>
      </x:c>
      <x:c r="B79" s="1" t="s">
        <x:v>279</x:v>
      </x:c>
      <x:c r="C79" s="1" t="s">
        <x:v>210</x:v>
      </x:c>
      <x:c r="D79" s="4" t="s">
        <x:v>21</x:v>
      </x:c>
      <x:c r="E79" s="1" t="s">
        <x:v>71</x:v>
      </x:c>
      <x:c r="F79" s="1" t="s">
        <x:v>64</x:v>
      </x:c>
      <x:c r="G79" s="1" t="s">
        <x:v>42</x:v>
      </x:c>
      <x:c r="H79" s="1" t="s">
        <x:v>280</x:v>
      </x:c>
      <x:c r="I79" s="6">
        <x:f>IFERROR(INDEX(Уровни!$B$2:$B$7,MATCH(D79,Уровни!$A$2:$A$7,0)),0)</x:f>
      </x:c>
      <x:c r="J79" s="9">
        <x:f>IF(I79=0,0,I79/SUMIFS($I$2:$I$174,$C$2:$C$174,C79))</x:f>
      </x:c>
      <x:c r="K79" s="10">
        <x:f>J79*IFERROR(INDEX(Категории!$C$2:$C$20,MATCH(C79,Категории!$A$2:$A$20,0)),0)*IF(AND(Параметры!$B$9="да",G79="да"),0,1)</x:f>
      </x:c>
      <x:c r="L79" s="11">
        <x:f>IF(K79=0,"—",1/K79)</x:f>
      </x:c>
      <x:c r="M79" s="11">
        <x:f>IF(K79=0,"—",1/(K79*Параметры!$B$3))</x:f>
      </x:c>
      <x:c r="N79" s="12">
        <x:f>IF(K79=0,"—",1/(K79*Параметры!$B$8))</x:f>
      </x:c>
    </x:row>
    <x:row r="80" spans="1:14">
      <x:c r="A80" s="1" t="s">
        <x:v>281</x:v>
      </x:c>
      <x:c r="B80" s="1" t="s">
        <x:v>282</x:v>
      </x:c>
      <x:c r="C80" s="1" t="s">
        <x:v>210</x:v>
      </x:c>
      <x:c r="D80" s="4" t="s">
        <x:v>22</x:v>
      </x:c>
      <x:c r="E80" s="1" t="s">
        <x:v>41</x:v>
      </x:c>
      <x:c r="F80" s="1" t="s">
        <x:v>42</x:v>
      </x:c>
      <x:c r="G80" s="1" t="s">
        <x:v>64</x:v>
      </x:c>
      <x:c r="H80" s="1" t="s">
        <x:v>283</x:v>
      </x:c>
      <x:c r="I80" s="6">
        <x:f>IFERROR(INDEX(Уровни!$B$2:$B$7,MATCH(D80,Уровни!$A$2:$A$7,0)),0)</x:f>
      </x:c>
      <x:c r="J80" s="9">
        <x:f>IF(I80=0,0,I80/SUMIFS($I$2:$I$174,$C$2:$C$174,C80))</x:f>
      </x:c>
      <x:c r="K80" s="10">
        <x:f>J80*IFERROR(INDEX(Категории!$C$2:$C$20,MATCH(C80,Категории!$A$2:$A$20,0)),0)*IF(AND(Параметры!$B$9="да",G80="да"),0,1)</x:f>
      </x:c>
      <x:c r="L80" s="11">
        <x:f>IF(K80=0,"—",1/K80)</x:f>
      </x:c>
      <x:c r="M80" s="11">
        <x:f>IF(K80=0,"—",1/(K80*Параметры!$B$3))</x:f>
      </x:c>
      <x:c r="N80" s="12">
        <x:f>IF(K80=0,"—",1/(K80*Параметры!$B$8))</x:f>
      </x:c>
    </x:row>
    <x:row r="81" spans="1:14">
      <x:c r="A81" s="1" t="s">
        <x:v>284</x:v>
      </x:c>
      <x:c r="B81" s="1" t="s">
        <x:v>285</x:v>
      </x:c>
      <x:c r="C81" s="1" t="s">
        <x:v>210</x:v>
      </x:c>
      <x:c r="D81" s="4" t="s">
        <x:v>22</x:v>
      </x:c>
      <x:c r="E81" s="1" t="s">
        <x:v>41</x:v>
      </x:c>
      <x:c r="F81" s="1" t="s">
        <x:v>42</x:v>
      </x:c>
      <x:c r="G81" s="1" t="s">
        <x:v>42</x:v>
      </x:c>
      <x:c r="H81" s="1" t="s">
        <x:v>286</x:v>
      </x:c>
      <x:c r="I81" s="6">
        <x:f>IFERROR(INDEX(Уровни!$B$2:$B$7,MATCH(D81,Уровни!$A$2:$A$7,0)),0)</x:f>
      </x:c>
      <x:c r="J81" s="9">
        <x:f>IF(I81=0,0,I81/SUMIFS($I$2:$I$174,$C$2:$C$174,C81))</x:f>
      </x:c>
      <x:c r="K81" s="10">
        <x:f>J81*IFERROR(INDEX(Категории!$C$2:$C$20,MATCH(C81,Категории!$A$2:$A$20,0)),0)*IF(AND(Параметры!$B$9="да",G81="да"),0,1)</x:f>
      </x:c>
      <x:c r="L81" s="11">
        <x:f>IF(K81=0,"—",1/K81)</x:f>
      </x:c>
      <x:c r="M81" s="11">
        <x:f>IF(K81=0,"—",1/(K81*Параметры!$B$3))</x:f>
      </x:c>
      <x:c r="N81" s="12">
        <x:f>IF(K81=0,"—",1/(K81*Параметры!$B$8))</x:f>
      </x:c>
    </x:row>
    <x:row r="82" spans="1:14">
      <x:c r="A82" s="1" t="s">
        <x:v>287</x:v>
      </x:c>
      <x:c r="B82" s="1" t="s">
        <x:v>288</x:v>
      </x:c>
      <x:c r="C82" s="1" t="s">
        <x:v>289</x:v>
      </x:c>
      <x:c r="D82" s="4" t="s">
        <x:v>20</x:v>
      </x:c>
      <x:c r="E82" s="1" t="s">
        <x:v>41</x:v>
      </x:c>
      <x:c r="F82" s="1" t="s">
        <x:v>42</x:v>
      </x:c>
      <x:c r="G82" s="1" t="s">
        <x:v>64</x:v>
      </x:c>
      <x:c r="H82" s="1" t="s">
        <x:v>290</x:v>
      </x:c>
      <x:c r="I82" s="6">
        <x:f>IFERROR(INDEX(Уровни!$B$2:$B$7,MATCH(D82,Уровни!$A$2:$A$7,0)),0)</x:f>
      </x:c>
      <x:c r="J82" s="9">
        <x:f>IF(I82=0,0,I82/SUMIFS($I$2:$I$174,$C$2:$C$174,C82))</x:f>
      </x:c>
      <x:c r="K82" s="10">
        <x:f>J82*IFERROR(INDEX(Категории!$C$2:$C$20,MATCH(C82,Категории!$A$2:$A$20,0)),0)*IF(AND(Параметры!$B$9="да",G82="да"),0,1)</x:f>
      </x:c>
      <x:c r="L82" s="11">
        <x:f>IF(K82=0,"—",1/K82)</x:f>
      </x:c>
      <x:c r="M82" s="11">
        <x:f>IF(K82=0,"—",1/(K82*Параметры!$B$3))</x:f>
      </x:c>
      <x:c r="N82" s="12">
        <x:f>IF(K82=0,"—",1/(K82*Параметры!$B$8))</x:f>
      </x:c>
    </x:row>
    <x:row r="83" spans="1:14">
      <x:c r="A83" s="1" t="s">
        <x:v>291</x:v>
      </x:c>
      <x:c r="B83" s="1" t="s">
        <x:v>292</x:v>
      </x:c>
      <x:c r="C83" s="1" t="s">
        <x:v>289</x:v>
      </x:c>
      <x:c r="D83" s="4" t="s">
        <x:v>20</x:v>
      </x:c>
      <x:c r="E83" s="1" t="s">
        <x:v>41</x:v>
      </x:c>
      <x:c r="F83" s="1" t="s">
        <x:v>42</x:v>
      </x:c>
      <x:c r="G83" s="1" t="s">
        <x:v>64</x:v>
      </x:c>
      <x:c r="H83" s="1" t="s">
        <x:v>293</x:v>
      </x:c>
      <x:c r="I83" s="6">
        <x:f>IFERROR(INDEX(Уровни!$B$2:$B$7,MATCH(D83,Уровни!$A$2:$A$7,0)),0)</x:f>
      </x:c>
      <x:c r="J83" s="9">
        <x:f>IF(I83=0,0,I83/SUMIFS($I$2:$I$174,$C$2:$C$174,C83))</x:f>
      </x:c>
      <x:c r="K83" s="10">
        <x:f>J83*IFERROR(INDEX(Категории!$C$2:$C$20,MATCH(C83,Категории!$A$2:$A$20,0)),0)*IF(AND(Параметры!$B$9="да",G83="да"),0,1)</x:f>
      </x:c>
      <x:c r="L83" s="11">
        <x:f>IF(K83=0,"—",1/K83)</x:f>
      </x:c>
      <x:c r="M83" s="11">
        <x:f>IF(K83=0,"—",1/(K83*Параметры!$B$3))</x:f>
      </x:c>
      <x:c r="N83" s="12">
        <x:f>IF(K83=0,"—",1/(K83*Параметры!$B$8))</x:f>
      </x:c>
    </x:row>
    <x:row r="84" spans="1:14">
      <x:c r="A84" s="1" t="s">
        <x:v>294</x:v>
      </x:c>
      <x:c r="B84" s="1" t="s">
        <x:v>295</x:v>
      </x:c>
      <x:c r="C84" s="1" t="s">
        <x:v>289</x:v>
      </x:c>
      <x:c r="D84" s="4" t="s">
        <x:v>20</x:v>
      </x:c>
      <x:c r="E84" s="1" t="s">
        <x:v>41</x:v>
      </x:c>
      <x:c r="F84" s="1" t="s">
        <x:v>42</x:v>
      </x:c>
      <x:c r="G84" s="1" t="s">
        <x:v>64</x:v>
      </x:c>
      <x:c r="H84" s="1" t="s">
        <x:v>296</x:v>
      </x:c>
      <x:c r="I84" s="6">
        <x:f>IFERROR(INDEX(Уровни!$B$2:$B$7,MATCH(D84,Уровни!$A$2:$A$7,0)),0)</x:f>
      </x:c>
      <x:c r="J84" s="9">
        <x:f>IF(I84=0,0,I84/SUMIFS($I$2:$I$174,$C$2:$C$174,C84))</x:f>
      </x:c>
      <x:c r="K84" s="10">
        <x:f>J84*IFERROR(INDEX(Категории!$C$2:$C$20,MATCH(C84,Категории!$A$2:$A$20,0)),0)*IF(AND(Параметры!$B$9="да",G84="да"),0,1)</x:f>
      </x:c>
      <x:c r="L84" s="11">
        <x:f>IF(K84=0,"—",1/K84)</x:f>
      </x:c>
      <x:c r="M84" s="11">
        <x:f>IF(K84=0,"—",1/(K84*Параметры!$B$3))</x:f>
      </x:c>
      <x:c r="N84" s="12">
        <x:f>IF(K84=0,"—",1/(K84*Параметры!$B$8))</x:f>
      </x:c>
    </x:row>
    <x:row r="85" spans="1:14">
      <x:c r="A85" s="1" t="s">
        <x:v>297</x:v>
      </x:c>
      <x:c r="B85" s="1" t="s">
        <x:v>298</x:v>
      </x:c>
      <x:c r="C85" s="1" t="s">
        <x:v>289</x:v>
      </x:c>
      <x:c r="D85" s="4" t="s">
        <x:v>20</x:v>
      </x:c>
      <x:c r="E85" s="1" t="s">
        <x:v>41</x:v>
      </x:c>
      <x:c r="F85" s="1" t="s">
        <x:v>42</x:v>
      </x:c>
      <x:c r="G85" s="1" t="s">
        <x:v>64</x:v>
      </x:c>
      <x:c r="H85" s="1" t="s">
        <x:v>299</x:v>
      </x:c>
      <x:c r="I85" s="6">
        <x:f>IFERROR(INDEX(Уровни!$B$2:$B$7,MATCH(D85,Уровни!$A$2:$A$7,0)),0)</x:f>
      </x:c>
      <x:c r="J85" s="9">
        <x:f>IF(I85=0,0,I85/SUMIFS($I$2:$I$174,$C$2:$C$174,C85))</x:f>
      </x:c>
      <x:c r="K85" s="10">
        <x:f>J85*IFERROR(INDEX(Категории!$C$2:$C$20,MATCH(C85,Категории!$A$2:$A$20,0)),0)*IF(AND(Параметры!$B$9="да",G85="да"),0,1)</x:f>
      </x:c>
      <x:c r="L85" s="11">
        <x:f>IF(K85=0,"—",1/K85)</x:f>
      </x:c>
      <x:c r="M85" s="11">
        <x:f>IF(K85=0,"—",1/(K85*Параметры!$B$3))</x:f>
      </x:c>
      <x:c r="N85" s="12">
        <x:f>IF(K85=0,"—",1/(K85*Параметры!$B$8))</x:f>
      </x:c>
    </x:row>
    <x:row r="86" spans="1:14">
      <x:c r="A86" s="1" t="s">
        <x:v>300</x:v>
      </x:c>
      <x:c r="B86" s="1" t="s">
        <x:v>301</x:v>
      </x:c>
      <x:c r="C86" s="1" t="s">
        <x:v>289</x:v>
      </x:c>
      <x:c r="D86" s="4" t="s">
        <x:v>20</x:v>
      </x:c>
      <x:c r="E86" s="1" t="s">
        <x:v>41</x:v>
      </x:c>
      <x:c r="F86" s="1" t="s">
        <x:v>42</x:v>
      </x:c>
      <x:c r="G86" s="1" t="s">
        <x:v>42</x:v>
      </x:c>
      <x:c r="H86" s="1" t="s">
        <x:v>302</x:v>
      </x:c>
      <x:c r="I86" s="6">
        <x:f>IFERROR(INDEX(Уровни!$B$2:$B$7,MATCH(D86,Уровни!$A$2:$A$7,0)),0)</x:f>
      </x:c>
      <x:c r="J86" s="9">
        <x:f>IF(I86=0,0,I86/SUMIFS($I$2:$I$174,$C$2:$C$174,C86))</x:f>
      </x:c>
      <x:c r="K86" s="10">
        <x:f>J86*IFERROR(INDEX(Категории!$C$2:$C$20,MATCH(C86,Категории!$A$2:$A$20,0)),0)*IF(AND(Параметры!$B$9="да",G86="да"),0,1)</x:f>
      </x:c>
      <x:c r="L86" s="11">
        <x:f>IF(K86=0,"—",1/K86)</x:f>
      </x:c>
      <x:c r="M86" s="11">
        <x:f>IF(K86=0,"—",1/(K86*Параметры!$B$3))</x:f>
      </x:c>
      <x:c r="N86" s="12">
        <x:f>IF(K86=0,"—",1/(K86*Параметры!$B$8))</x:f>
      </x:c>
    </x:row>
    <x:row r="87" spans="1:14">
      <x:c r="A87" s="1" t="s">
        <x:v>303</x:v>
      </x:c>
      <x:c r="B87" s="1" t="s">
        <x:v>304</x:v>
      </x:c>
      <x:c r="C87" s="1" t="s">
        <x:v>289</x:v>
      </x:c>
      <x:c r="D87" s="4" t="s">
        <x:v>21</x:v>
      </x:c>
      <x:c r="E87" s="1" t="s">
        <x:v>41</x:v>
      </x:c>
      <x:c r="F87" s="1" t="s">
        <x:v>42</x:v>
      </x:c>
      <x:c r="G87" s="1" t="s">
        <x:v>42</x:v>
      </x:c>
      <x:c r="H87" s="1" t="s">
        <x:v>305</x:v>
      </x:c>
      <x:c r="I87" s="6">
        <x:f>IFERROR(INDEX(Уровни!$B$2:$B$7,MATCH(D87,Уровни!$A$2:$A$7,0)),0)</x:f>
      </x:c>
      <x:c r="J87" s="9">
        <x:f>IF(I87=0,0,I87/SUMIFS($I$2:$I$174,$C$2:$C$174,C87))</x:f>
      </x:c>
      <x:c r="K87" s="10">
        <x:f>J87*IFERROR(INDEX(Категории!$C$2:$C$20,MATCH(C87,Категории!$A$2:$A$20,0)),0)*IF(AND(Параметры!$B$9="да",G87="да"),0,1)</x:f>
      </x:c>
      <x:c r="L87" s="11">
        <x:f>IF(K87=0,"—",1/K87)</x:f>
      </x:c>
      <x:c r="M87" s="11">
        <x:f>IF(K87=0,"—",1/(K87*Параметры!$B$3))</x:f>
      </x:c>
      <x:c r="N87" s="12">
        <x:f>IF(K87=0,"—",1/(K87*Параметры!$B$8))</x:f>
      </x:c>
    </x:row>
    <x:row r="88" spans="1:14">
      <x:c r="A88" s="1" t="s">
        <x:v>306</x:v>
      </x:c>
      <x:c r="B88" s="1" t="s">
        <x:v>307</x:v>
      </x:c>
      <x:c r="C88" s="1" t="s">
        <x:v>289</x:v>
      </x:c>
      <x:c r="D88" s="4" t="s">
        <x:v>21</x:v>
      </x:c>
      <x:c r="E88" s="1" t="s">
        <x:v>41</x:v>
      </x:c>
      <x:c r="F88" s="1" t="s">
        <x:v>42</x:v>
      </x:c>
      <x:c r="G88" s="1" t="s">
        <x:v>42</x:v>
      </x:c>
      <x:c r="H88" s="1" t="s">
        <x:v>308</x:v>
      </x:c>
      <x:c r="I88" s="6">
        <x:f>IFERROR(INDEX(Уровни!$B$2:$B$7,MATCH(D88,Уровни!$A$2:$A$7,0)),0)</x:f>
      </x:c>
      <x:c r="J88" s="9">
        <x:f>IF(I88=0,0,I88/SUMIFS($I$2:$I$174,$C$2:$C$174,C88))</x:f>
      </x:c>
      <x:c r="K88" s="10">
        <x:f>J88*IFERROR(INDEX(Категории!$C$2:$C$20,MATCH(C88,Категории!$A$2:$A$20,0)),0)*IF(AND(Параметры!$B$9="да",G88="да"),0,1)</x:f>
      </x:c>
      <x:c r="L88" s="11">
        <x:f>IF(K88=0,"—",1/K88)</x:f>
      </x:c>
      <x:c r="M88" s="11">
        <x:f>IF(K88=0,"—",1/(K88*Параметры!$B$3))</x:f>
      </x:c>
      <x:c r="N88" s="12">
        <x:f>IF(K88=0,"—",1/(K88*Параметры!$B$8))</x:f>
      </x:c>
    </x:row>
    <x:row r="89" spans="1:14">
      <x:c r="A89" s="1" t="s">
        <x:v>309</x:v>
      </x:c>
      <x:c r="B89" s="1" t="s">
        <x:v>310</x:v>
      </x:c>
      <x:c r="C89" s="1" t="s">
        <x:v>289</x:v>
      </x:c>
      <x:c r="D89" s="4" t="s">
        <x:v>21</x:v>
      </x:c>
      <x:c r="E89" s="1" t="s">
        <x:v>41</x:v>
      </x:c>
      <x:c r="F89" s="1" t="s">
        <x:v>42</x:v>
      </x:c>
      <x:c r="G89" s="1" t="s">
        <x:v>42</x:v>
      </x:c>
      <x:c r="H89" s="1" t="s">
        <x:v>311</x:v>
      </x:c>
      <x:c r="I89" s="6">
        <x:f>IFERROR(INDEX(Уровни!$B$2:$B$7,MATCH(D89,Уровни!$A$2:$A$7,0)),0)</x:f>
      </x:c>
      <x:c r="J89" s="9">
        <x:f>IF(I89=0,0,I89/SUMIFS($I$2:$I$174,$C$2:$C$174,C89))</x:f>
      </x:c>
      <x:c r="K89" s="10">
        <x:f>J89*IFERROR(INDEX(Категории!$C$2:$C$20,MATCH(C89,Категории!$A$2:$A$20,0)),0)*IF(AND(Параметры!$B$9="да",G89="да"),0,1)</x:f>
      </x:c>
      <x:c r="L89" s="11">
        <x:f>IF(K89=0,"—",1/K89)</x:f>
      </x:c>
      <x:c r="M89" s="11">
        <x:f>IF(K89=0,"—",1/(K89*Параметры!$B$3))</x:f>
      </x:c>
      <x:c r="N89" s="12">
        <x:f>IF(K89=0,"—",1/(K89*Параметры!$B$8))</x:f>
      </x:c>
    </x:row>
    <x:row r="90" spans="1:14">
      <x:c r="A90" s="1" t="s">
        <x:v>312</x:v>
      </x:c>
      <x:c r="B90" s="1" t="s">
        <x:v>313</x:v>
      </x:c>
      <x:c r="C90" s="1" t="s">
        <x:v>289</x:v>
      </x:c>
      <x:c r="D90" s="4" t="s">
        <x:v>22</x:v>
      </x:c>
      <x:c r="E90" s="1" t="s">
        <x:v>41</x:v>
      </x:c>
      <x:c r="F90" s="1" t="s">
        <x:v>42</x:v>
      </x:c>
      <x:c r="G90" s="1" t="s">
        <x:v>42</x:v>
      </x:c>
      <x:c r="H90" s="1" t="s">
        <x:v>314</x:v>
      </x:c>
      <x:c r="I90" s="6">
        <x:f>IFERROR(INDEX(Уровни!$B$2:$B$7,MATCH(D90,Уровни!$A$2:$A$7,0)),0)</x:f>
      </x:c>
      <x:c r="J90" s="9">
        <x:f>IF(I90=0,0,I90/SUMIFS($I$2:$I$174,$C$2:$C$174,C90))</x:f>
      </x:c>
      <x:c r="K90" s="10">
        <x:f>J90*IFERROR(INDEX(Категории!$C$2:$C$20,MATCH(C90,Категории!$A$2:$A$20,0)),0)*IF(AND(Параметры!$B$9="да",G90="да"),0,1)</x:f>
      </x:c>
      <x:c r="L90" s="11">
        <x:f>IF(K90=0,"—",1/K90)</x:f>
      </x:c>
      <x:c r="M90" s="11">
        <x:f>IF(K90=0,"—",1/(K90*Параметры!$B$3))</x:f>
      </x:c>
      <x:c r="N90" s="12">
        <x:f>IF(K90=0,"—",1/(K90*Параметры!$B$8))</x:f>
      </x:c>
    </x:row>
    <x:row r="91" spans="1:14">
      <x:c r="A91" s="1" t="s">
        <x:v>315</x:v>
      </x:c>
      <x:c r="B91" s="1" t="s">
        <x:v>316</x:v>
      </x:c>
      <x:c r="C91" s="1" t="s">
        <x:v>289</x:v>
      </x:c>
      <x:c r="D91" s="4" t="s">
        <x:v>22</x:v>
      </x:c>
      <x:c r="E91" s="1" t="s">
        <x:v>41</x:v>
      </x:c>
      <x:c r="F91" s="1" t="s">
        <x:v>42</x:v>
      </x:c>
      <x:c r="G91" s="1" t="s">
        <x:v>64</x:v>
      </x:c>
      <x:c r="H91" s="1" t="s">
        <x:v>317</x:v>
      </x:c>
      <x:c r="I91" s="6">
        <x:f>IFERROR(INDEX(Уровни!$B$2:$B$7,MATCH(D91,Уровни!$A$2:$A$7,0)),0)</x:f>
      </x:c>
      <x:c r="J91" s="9">
        <x:f>IF(I91=0,0,I91/SUMIFS($I$2:$I$174,$C$2:$C$174,C91))</x:f>
      </x:c>
      <x:c r="K91" s="10">
        <x:f>J91*IFERROR(INDEX(Категории!$C$2:$C$20,MATCH(C91,Категории!$A$2:$A$20,0)),0)*IF(AND(Параметры!$B$9="да",G91="да"),0,1)</x:f>
      </x:c>
      <x:c r="L91" s="11">
        <x:f>IF(K91=0,"—",1/K91)</x:f>
      </x:c>
      <x:c r="M91" s="11">
        <x:f>IF(K91=0,"—",1/(K91*Параметры!$B$3))</x:f>
      </x:c>
      <x:c r="N91" s="12">
        <x:f>IF(K91=0,"—",1/(K91*Параметры!$B$8))</x:f>
      </x:c>
    </x:row>
    <x:row r="92" spans="1:14">
      <x:c r="A92" s="1" t="s">
        <x:v>318</x:v>
      </x:c>
      <x:c r="B92" s="1" t="s">
        <x:v>319</x:v>
      </x:c>
      <x:c r="C92" s="1" t="s">
        <x:v>289</x:v>
      </x:c>
      <x:c r="D92" s="4" t="s">
        <x:v>23</x:v>
      </x:c>
      <x:c r="E92" s="1" t="s">
        <x:v>71</x:v>
      </x:c>
      <x:c r="F92" s="1" t="s">
        <x:v>42</x:v>
      </x:c>
      <x:c r="G92" s="1" t="s">
        <x:v>42</x:v>
      </x:c>
      <x:c r="H92" s="1" t="s">
        <x:v>320</x:v>
      </x:c>
      <x:c r="I92" s="6">
        <x:f>IFERROR(INDEX(Уровни!$B$2:$B$7,MATCH(D92,Уровни!$A$2:$A$7,0)),0)</x:f>
      </x:c>
      <x:c r="J92" s="9">
        <x:f>IF(I92=0,0,I92/SUMIFS($I$2:$I$174,$C$2:$C$174,C92))</x:f>
      </x:c>
      <x:c r="K92" s="10">
        <x:f>J92*IFERROR(INDEX(Категории!$C$2:$C$20,MATCH(C92,Категории!$A$2:$A$20,0)),0)*IF(AND(Параметры!$B$9="да",G92="да"),0,1)</x:f>
      </x:c>
      <x:c r="L92" s="11">
        <x:f>IF(K92=0,"—",1/K92)</x:f>
      </x:c>
      <x:c r="M92" s="11">
        <x:f>IF(K92=0,"—",1/(K92*Параметры!$B$3))</x:f>
      </x:c>
      <x:c r="N92" s="12">
        <x:f>IF(K92=0,"—",1/(K92*Параметры!$B$8))</x:f>
      </x:c>
    </x:row>
    <x:row r="93" spans="1:14">
      <x:c r="A93" s="1" t="s">
        <x:v>321</x:v>
      </x:c>
      <x:c r="B93" s="1" t="s">
        <x:v>322</x:v>
      </x:c>
      <x:c r="C93" s="1" t="s">
        <x:v>289</x:v>
      </x:c>
      <x:c r="D93" s="4" t="s">
        <x:v>23</x:v>
      </x:c>
      <x:c r="E93" s="1" t="s">
        <x:v>71</x:v>
      </x:c>
      <x:c r="F93" s="1" t="s">
        <x:v>64</x:v>
      </x:c>
      <x:c r="G93" s="1" t="s">
        <x:v>42</x:v>
      </x:c>
      <x:c r="H93" s="1" t="s">
        <x:v>323</x:v>
      </x:c>
      <x:c r="I93" s="6">
        <x:f>IFERROR(INDEX(Уровни!$B$2:$B$7,MATCH(D93,Уровни!$A$2:$A$7,0)),0)</x:f>
      </x:c>
      <x:c r="J93" s="9">
        <x:f>IF(I93=0,0,I93/SUMIFS($I$2:$I$174,$C$2:$C$174,C93))</x:f>
      </x:c>
      <x:c r="K93" s="10">
        <x:f>J93*IFERROR(INDEX(Категории!$C$2:$C$20,MATCH(C93,Категории!$A$2:$A$20,0)),0)*IF(AND(Параметры!$B$9="да",G93="да"),0,1)</x:f>
      </x:c>
      <x:c r="L93" s="11">
        <x:f>IF(K93=0,"—",1/K93)</x:f>
      </x:c>
      <x:c r="M93" s="11">
        <x:f>IF(K93=0,"—",1/(K93*Параметры!$B$3))</x:f>
      </x:c>
      <x:c r="N93" s="12">
        <x:f>IF(K93=0,"—",1/(K93*Параметры!$B$8))</x:f>
      </x:c>
    </x:row>
    <x:row r="94" spans="1:14">
      <x:c r="A94" s="1" t="s">
        <x:v>324</x:v>
      </x:c>
      <x:c r="B94" s="1" t="s">
        <x:v>325</x:v>
      </x:c>
      <x:c r="C94" s="1" t="s">
        <x:v>289</x:v>
      </x:c>
      <x:c r="D94" s="4" t="s">
        <x:v>23</x:v>
      </x:c>
      <x:c r="E94" s="1" t="s">
        <x:v>71</x:v>
      </x:c>
      <x:c r="F94" s="1" t="s">
        <x:v>42</x:v>
      </x:c>
      <x:c r="G94" s="1" t="s">
        <x:v>42</x:v>
      </x:c>
      <x:c r="H94" s="1" t="s">
        <x:v>326</x:v>
      </x:c>
      <x:c r="I94" s="6">
        <x:f>IFERROR(INDEX(Уровни!$B$2:$B$7,MATCH(D94,Уровни!$A$2:$A$7,0)),0)</x:f>
      </x:c>
      <x:c r="J94" s="9">
        <x:f>IF(I94=0,0,I94/SUMIFS($I$2:$I$174,$C$2:$C$174,C94))</x:f>
      </x:c>
      <x:c r="K94" s="10">
        <x:f>J94*IFERROR(INDEX(Категории!$C$2:$C$20,MATCH(C94,Категории!$A$2:$A$20,0)),0)*IF(AND(Параметры!$B$9="да",G94="да"),0,1)</x:f>
      </x:c>
      <x:c r="L94" s="11">
        <x:f>IF(K94=0,"—",1/K94)</x:f>
      </x:c>
      <x:c r="M94" s="11">
        <x:f>IF(K94=0,"—",1/(K94*Параметры!$B$3))</x:f>
      </x:c>
      <x:c r="N94" s="12">
        <x:f>IF(K94=0,"—",1/(K94*Параметры!$B$8))</x:f>
      </x:c>
    </x:row>
    <x:row r="95" spans="1:14">
      <x:c r="A95" s="1" t="s">
        <x:v>327</x:v>
      </x:c>
      <x:c r="B95" s="1" t="s">
        <x:v>328</x:v>
      </x:c>
      <x:c r="C95" s="1" t="s">
        <x:v>289</x:v>
      </x:c>
      <x:c r="D95" s="4" t="s">
        <x:v>23</x:v>
      </x:c>
      <x:c r="E95" s="1" t="s">
        <x:v>71</x:v>
      </x:c>
      <x:c r="F95" s="1" t="s">
        <x:v>42</x:v>
      </x:c>
      <x:c r="G95" s="1" t="s">
        <x:v>64</x:v>
      </x:c>
      <x:c r="H95" s="1" t="s">
        <x:v>329</x:v>
      </x:c>
      <x:c r="I95" s="6">
        <x:f>IFERROR(INDEX(Уровни!$B$2:$B$7,MATCH(D95,Уровни!$A$2:$A$7,0)),0)</x:f>
      </x:c>
      <x:c r="J95" s="9">
        <x:f>IF(I95=0,0,I95/SUMIFS($I$2:$I$174,$C$2:$C$174,C95))</x:f>
      </x:c>
      <x:c r="K95" s="10">
        <x:f>J95*IFERROR(INDEX(Категории!$C$2:$C$20,MATCH(C95,Категории!$A$2:$A$20,0)),0)*IF(AND(Параметры!$B$9="да",G95="да"),0,1)</x:f>
      </x:c>
      <x:c r="L95" s="11">
        <x:f>IF(K95=0,"—",1/K95)</x:f>
      </x:c>
      <x:c r="M95" s="11">
        <x:f>IF(K95=0,"—",1/(K95*Параметры!$B$3))</x:f>
      </x:c>
      <x:c r="N95" s="12">
        <x:f>IF(K95=0,"—",1/(K95*Параметры!$B$8))</x:f>
      </x:c>
    </x:row>
    <x:row r="96" spans="1:14">
      <x:c r="A96" s="1" t="s">
        <x:v>330</x:v>
      </x:c>
      <x:c r="B96" s="1" t="s">
        <x:v>331</x:v>
      </x:c>
      <x:c r="C96" s="1" t="s">
        <x:v>289</x:v>
      </x:c>
      <x:c r="D96" s="4" t="s">
        <x:v>23</x:v>
      </x:c>
      <x:c r="E96" s="1" t="s">
        <x:v>71</x:v>
      </x:c>
      <x:c r="F96" s="1" t="s">
        <x:v>42</x:v>
      </x:c>
      <x:c r="G96" s="1" t="s">
        <x:v>64</x:v>
      </x:c>
      <x:c r="H96" s="1" t="s">
        <x:v>332</x:v>
      </x:c>
      <x:c r="I96" s="6">
        <x:f>IFERROR(INDEX(Уровни!$B$2:$B$7,MATCH(D96,Уровни!$A$2:$A$7,0)),0)</x:f>
      </x:c>
      <x:c r="J96" s="9">
        <x:f>IF(I96=0,0,I96/SUMIFS($I$2:$I$174,$C$2:$C$174,C96))</x:f>
      </x:c>
      <x:c r="K96" s="10">
        <x:f>J96*IFERROR(INDEX(Категории!$C$2:$C$20,MATCH(C96,Категории!$A$2:$A$20,0)),0)*IF(AND(Параметры!$B$9="да",G96="да"),0,1)</x:f>
      </x:c>
      <x:c r="L96" s="11">
        <x:f>IF(K96=0,"—",1/K96)</x:f>
      </x:c>
      <x:c r="M96" s="11">
        <x:f>IF(K96=0,"—",1/(K96*Параметры!$B$3))</x:f>
      </x:c>
      <x:c r="N96" s="12">
        <x:f>IF(K96=0,"—",1/(K96*Параметры!$B$8))</x:f>
      </x:c>
    </x:row>
    <x:row r="97" spans="1:14">
      <x:c r="A97" s="1" t="s">
        <x:v>333</x:v>
      </x:c>
      <x:c r="B97" s="1" t="s">
        <x:v>334</x:v>
      </x:c>
      <x:c r="C97" s="1" t="s">
        <x:v>289</x:v>
      </x:c>
      <x:c r="D97" s="4" t="s">
        <x:v>23</x:v>
      </x:c>
      <x:c r="E97" s="1" t="s">
        <x:v>71</x:v>
      </x:c>
      <x:c r="F97" s="1" t="s">
        <x:v>64</x:v>
      </x:c>
      <x:c r="G97" s="1" t="s">
        <x:v>64</x:v>
      </x:c>
      <x:c r="H97" s="1" t="s">
        <x:v>335</x:v>
      </x:c>
      <x:c r="I97" s="6">
        <x:f>IFERROR(INDEX(Уровни!$B$2:$B$7,MATCH(D97,Уровни!$A$2:$A$7,0)),0)</x:f>
      </x:c>
      <x:c r="J97" s="9">
        <x:f>IF(I97=0,0,I97/SUMIFS($I$2:$I$174,$C$2:$C$174,C97))</x:f>
      </x:c>
      <x:c r="K97" s="10">
        <x:f>J97*IFERROR(INDEX(Категории!$C$2:$C$20,MATCH(C97,Категории!$A$2:$A$20,0)),0)*IF(AND(Параметры!$B$9="да",G97="да"),0,1)</x:f>
      </x:c>
      <x:c r="L97" s="11">
        <x:f>IF(K97=0,"—",1/K97)</x:f>
      </x:c>
      <x:c r="M97" s="11">
        <x:f>IF(K97=0,"—",1/(K97*Параметры!$B$3))</x:f>
      </x:c>
      <x:c r="N97" s="12">
        <x:f>IF(K97=0,"—",1/(K97*Параметры!$B$8))</x:f>
      </x:c>
    </x:row>
    <x:row r="98" spans="1:14">
      <x:c r="A98" s="1" t="s">
        <x:v>336</x:v>
      </x:c>
      <x:c r="B98" s="1" t="s">
        <x:v>337</x:v>
      </x:c>
      <x:c r="C98" s="1" t="s">
        <x:v>338</x:v>
      </x:c>
      <x:c r="D98" s="4" t="s">
        <x:v>21</x:v>
      </x:c>
      <x:c r="E98" s="1" t="s">
        <x:v>41</x:v>
      </x:c>
      <x:c r="F98" s="1" t="s">
        <x:v>42</x:v>
      </x:c>
      <x:c r="G98" s="1" t="s">
        <x:v>42</x:v>
      </x:c>
      <x:c r="H98" s="1" t="s">
        <x:v>339</x:v>
      </x:c>
      <x:c r="I98" s="6">
        <x:f>IFERROR(INDEX(Уровни!$B$2:$B$7,MATCH(D98,Уровни!$A$2:$A$7,0)),0)</x:f>
      </x:c>
      <x:c r="J98" s="9">
        <x:f>IF(I98=0,0,I98/SUMIFS($I$2:$I$174,$C$2:$C$174,C98))</x:f>
      </x:c>
      <x:c r="K98" s="10">
        <x:f>J98*IFERROR(INDEX(Категории!$C$2:$C$20,MATCH(C98,Категории!$A$2:$A$20,0)),0)*IF(AND(Параметры!$B$9="да",G98="да"),0,1)</x:f>
      </x:c>
      <x:c r="L98" s="11">
        <x:f>IF(K98=0,"—",1/K98)</x:f>
      </x:c>
      <x:c r="M98" s="11">
        <x:f>IF(K98=0,"—",1/(K98*Параметры!$B$3))</x:f>
      </x:c>
      <x:c r="N98" s="12">
        <x:f>IF(K98=0,"—",1/(K98*Параметры!$B$8))</x:f>
      </x:c>
    </x:row>
    <x:row r="99" spans="1:14">
      <x:c r="A99" s="1" t="s">
        <x:v>340</x:v>
      </x:c>
      <x:c r="B99" s="1" t="s">
        <x:v>341</x:v>
      </x:c>
      <x:c r="C99" s="1" t="s">
        <x:v>338</x:v>
      </x:c>
      <x:c r="D99" s="4" t="s">
        <x:v>21</x:v>
      </x:c>
      <x:c r="E99" s="1" t="s">
        <x:v>41</x:v>
      </x:c>
      <x:c r="F99" s="1" t="s">
        <x:v>42</x:v>
      </x:c>
      <x:c r="G99" s="1" t="s">
        <x:v>42</x:v>
      </x:c>
      <x:c r="H99" s="1" t="s">
        <x:v>342</x:v>
      </x:c>
      <x:c r="I99" s="6">
        <x:f>IFERROR(INDEX(Уровни!$B$2:$B$7,MATCH(D99,Уровни!$A$2:$A$7,0)),0)</x:f>
      </x:c>
      <x:c r="J99" s="9">
        <x:f>IF(I99=0,0,I99/SUMIFS($I$2:$I$174,$C$2:$C$174,C99))</x:f>
      </x:c>
      <x:c r="K99" s="10">
        <x:f>J99*IFERROR(INDEX(Категории!$C$2:$C$20,MATCH(C99,Категории!$A$2:$A$20,0)),0)*IF(AND(Параметры!$B$9="да",G99="да"),0,1)</x:f>
      </x:c>
      <x:c r="L99" s="11">
        <x:f>IF(K99=0,"—",1/K99)</x:f>
      </x:c>
      <x:c r="M99" s="11">
        <x:f>IF(K99=0,"—",1/(K99*Параметры!$B$3))</x:f>
      </x:c>
      <x:c r="N99" s="12">
        <x:f>IF(K99=0,"—",1/(K99*Параметры!$B$8))</x:f>
      </x:c>
    </x:row>
    <x:row r="100" spans="1:14">
      <x:c r="A100" s="1" t="s">
        <x:v>343</x:v>
      </x:c>
      <x:c r="B100" s="1" t="s">
        <x:v>344</x:v>
      </x:c>
      <x:c r="C100" s="1" t="s">
        <x:v>338</x:v>
      </x:c>
      <x:c r="D100" s="4" t="s">
        <x:v>21</x:v>
      </x:c>
      <x:c r="E100" s="1" t="s">
        <x:v>41</x:v>
      </x:c>
      <x:c r="F100" s="1" t="s">
        <x:v>42</x:v>
      </x:c>
      <x:c r="G100" s="1" t="s">
        <x:v>42</x:v>
      </x:c>
      <x:c r="H100" s="1" t="s">
        <x:v>345</x:v>
      </x:c>
      <x:c r="I100" s="6">
        <x:f>IFERROR(INDEX(Уровни!$B$2:$B$7,MATCH(D100,Уровни!$A$2:$A$7,0)),0)</x:f>
      </x:c>
      <x:c r="J100" s="9">
        <x:f>IF(I100=0,0,I100/SUMIFS($I$2:$I$174,$C$2:$C$174,C100))</x:f>
      </x:c>
      <x:c r="K100" s="10">
        <x:f>J100*IFERROR(INDEX(Категории!$C$2:$C$20,MATCH(C100,Категории!$A$2:$A$20,0)),0)*IF(AND(Параметры!$B$9="да",G100="да"),0,1)</x:f>
      </x:c>
      <x:c r="L100" s="11">
        <x:f>IF(K100=0,"—",1/K100)</x:f>
      </x:c>
      <x:c r="M100" s="11">
        <x:f>IF(K100=0,"—",1/(K100*Параметры!$B$3))</x:f>
      </x:c>
      <x:c r="N100" s="12">
        <x:f>IF(K100=0,"—",1/(K100*Параметры!$B$8))</x:f>
      </x:c>
    </x:row>
    <x:row r="101" spans="1:14">
      <x:c r="A101" s="1" t="s">
        <x:v>346</x:v>
      </x:c>
      <x:c r="B101" s="1" t="s">
        <x:v>347</x:v>
      </x:c>
      <x:c r="C101" s="1" t="s">
        <x:v>338</x:v>
      </x:c>
      <x:c r="D101" s="4" t="s">
        <x:v>22</x:v>
      </x:c>
      <x:c r="E101" s="1" t="s">
        <x:v>41</x:v>
      </x:c>
      <x:c r="F101" s="1" t="s">
        <x:v>42</x:v>
      </x:c>
      <x:c r="G101" s="1" t="s">
        <x:v>42</x:v>
      </x:c>
      <x:c r="H101" s="1" t="s">
        <x:v>348</x:v>
      </x:c>
      <x:c r="I101" s="6">
        <x:f>IFERROR(INDEX(Уровни!$B$2:$B$7,MATCH(D101,Уровни!$A$2:$A$7,0)),0)</x:f>
      </x:c>
      <x:c r="J101" s="9">
        <x:f>IF(I101=0,0,I101/SUMIFS($I$2:$I$174,$C$2:$C$174,C101))</x:f>
      </x:c>
      <x:c r="K101" s="10">
        <x:f>J101*IFERROR(INDEX(Категории!$C$2:$C$20,MATCH(C101,Категории!$A$2:$A$20,0)),0)*IF(AND(Параметры!$B$9="да",G101="да"),0,1)</x:f>
      </x:c>
      <x:c r="L101" s="11">
        <x:f>IF(K101=0,"—",1/K101)</x:f>
      </x:c>
      <x:c r="M101" s="11">
        <x:f>IF(K101=0,"—",1/(K101*Параметры!$B$3))</x:f>
      </x:c>
      <x:c r="N101" s="12">
        <x:f>IF(K101=0,"—",1/(K101*Параметры!$B$8))</x:f>
      </x:c>
    </x:row>
    <x:row r="102" spans="1:14">
      <x:c r="A102" s="1" t="s">
        <x:v>349</x:v>
      </x:c>
      <x:c r="B102" s="1" t="s">
        <x:v>350</x:v>
      </x:c>
      <x:c r="C102" s="1" t="s">
        <x:v>338</x:v>
      </x:c>
      <x:c r="D102" s="4" t="s">
        <x:v>22</x:v>
      </x:c>
      <x:c r="E102" s="1" t="s">
        <x:v>71</x:v>
      </x:c>
      <x:c r="F102" s="1" t="s">
        <x:v>64</x:v>
      </x:c>
      <x:c r="G102" s="1" t="s">
        <x:v>42</x:v>
      </x:c>
      <x:c r="H102" s="1" t="s">
        <x:v>351</x:v>
      </x:c>
      <x:c r="I102" s="6">
        <x:f>IFERROR(INDEX(Уровни!$B$2:$B$7,MATCH(D102,Уровни!$A$2:$A$7,0)),0)</x:f>
      </x:c>
      <x:c r="J102" s="9">
        <x:f>IF(I102=0,0,I102/SUMIFS($I$2:$I$174,$C$2:$C$174,C102))</x:f>
      </x:c>
      <x:c r="K102" s="10">
        <x:f>J102*IFERROR(INDEX(Категории!$C$2:$C$20,MATCH(C102,Категории!$A$2:$A$20,0)),0)*IF(AND(Параметры!$B$9="да",G102="да"),0,1)</x:f>
      </x:c>
      <x:c r="L102" s="11">
        <x:f>IF(K102=0,"—",1/K102)</x:f>
      </x:c>
      <x:c r="M102" s="11">
        <x:f>IF(K102=0,"—",1/(K102*Параметры!$B$3))</x:f>
      </x:c>
      <x:c r="N102" s="12">
        <x:f>IF(K102=0,"—",1/(K102*Параметры!$B$8))</x:f>
      </x:c>
    </x:row>
    <x:row r="103" spans="1:14">
      <x:c r="A103" s="1" t="s">
        <x:v>352</x:v>
      </x:c>
      <x:c r="B103" s="1" t="s">
        <x:v>353</x:v>
      </x:c>
      <x:c r="C103" s="1" t="s">
        <x:v>338</x:v>
      </x:c>
      <x:c r="D103" s="4" t="s">
        <x:v>22</x:v>
      </x:c>
      <x:c r="E103" s="1" t="s">
        <x:v>71</x:v>
      </x:c>
      <x:c r="F103" s="1" t="s">
        <x:v>64</x:v>
      </x:c>
      <x:c r="G103" s="1" t="s">
        <x:v>42</x:v>
      </x:c>
      <x:c r="H103" s="1" t="s">
        <x:v>354</x:v>
      </x:c>
      <x:c r="I103" s="6">
        <x:f>IFERROR(INDEX(Уровни!$B$2:$B$7,MATCH(D103,Уровни!$A$2:$A$7,0)),0)</x:f>
      </x:c>
      <x:c r="J103" s="9">
        <x:f>IF(I103=0,0,I103/SUMIFS($I$2:$I$174,$C$2:$C$174,C103))</x:f>
      </x:c>
      <x:c r="K103" s="10">
        <x:f>J103*IFERROR(INDEX(Категории!$C$2:$C$20,MATCH(C103,Категории!$A$2:$A$20,0)),0)*IF(AND(Параметры!$B$9="да",G103="да"),0,1)</x:f>
      </x:c>
      <x:c r="L103" s="11">
        <x:f>IF(K103=0,"—",1/K103)</x:f>
      </x:c>
      <x:c r="M103" s="11">
        <x:f>IF(K103=0,"—",1/(K103*Параметры!$B$3))</x:f>
      </x:c>
      <x:c r="N103" s="12">
        <x:f>IF(K103=0,"—",1/(K103*Параметры!$B$8))</x:f>
      </x:c>
    </x:row>
    <x:row r="104" spans="1:14">
      <x:c r="A104" s="1" t="s">
        <x:v>355</x:v>
      </x:c>
      <x:c r="B104" s="1" t="s">
        <x:v>356</x:v>
      </x:c>
      <x:c r="C104" s="1" t="s">
        <x:v>338</x:v>
      </x:c>
      <x:c r="D104" s="4" t="s">
        <x:v>22</x:v>
      </x:c>
      <x:c r="E104" s="1" t="s">
        <x:v>71</x:v>
      </x:c>
      <x:c r="F104" s="1" t="s">
        <x:v>42</x:v>
      </x:c>
      <x:c r="G104" s="1" t="s">
        <x:v>42</x:v>
      </x:c>
      <x:c r="H104" s="1" t="s">
        <x:v>357</x:v>
      </x:c>
      <x:c r="I104" s="6">
        <x:f>IFERROR(INDEX(Уровни!$B$2:$B$7,MATCH(D104,Уровни!$A$2:$A$7,0)),0)</x:f>
      </x:c>
      <x:c r="J104" s="9">
        <x:f>IF(I104=0,0,I104/SUMIFS($I$2:$I$174,$C$2:$C$174,C104))</x:f>
      </x:c>
      <x:c r="K104" s="10">
        <x:f>J104*IFERROR(INDEX(Категории!$C$2:$C$20,MATCH(C104,Категории!$A$2:$A$20,0)),0)*IF(AND(Параметры!$B$9="да",G104="да"),0,1)</x:f>
      </x:c>
      <x:c r="L104" s="11">
        <x:f>IF(K104=0,"—",1/K104)</x:f>
      </x:c>
      <x:c r="M104" s="11">
        <x:f>IF(K104=0,"—",1/(K104*Параметры!$B$3))</x:f>
      </x:c>
      <x:c r="N104" s="12">
        <x:f>IF(K104=0,"—",1/(K104*Параметры!$B$8))</x:f>
      </x:c>
    </x:row>
    <x:row r="105" spans="1:14">
      <x:c r="A105" s="1" t="s">
        <x:v>358</x:v>
      </x:c>
      <x:c r="B105" s="1" t="s">
        <x:v>359</x:v>
      </x:c>
      <x:c r="C105" s="1" t="s">
        <x:v>338</x:v>
      </x:c>
      <x:c r="D105" s="4" t="s">
        <x:v>23</x:v>
      </x:c>
      <x:c r="E105" s="1" t="s">
        <x:v>41</x:v>
      </x:c>
      <x:c r="F105" s="1" t="s">
        <x:v>42</x:v>
      </x:c>
      <x:c r="G105" s="1" t="s">
        <x:v>64</x:v>
      </x:c>
      <x:c r="H105" s="1" t="s">
        <x:v>360</x:v>
      </x:c>
      <x:c r="I105" s="6">
        <x:f>IFERROR(INDEX(Уровни!$B$2:$B$7,MATCH(D105,Уровни!$A$2:$A$7,0)),0)</x:f>
      </x:c>
      <x:c r="J105" s="9">
        <x:f>IF(I105=0,0,I105/SUMIFS($I$2:$I$174,$C$2:$C$174,C105))</x:f>
      </x:c>
      <x:c r="K105" s="10">
        <x:f>J105*IFERROR(INDEX(Категории!$C$2:$C$20,MATCH(C105,Категории!$A$2:$A$20,0)),0)*IF(AND(Параметры!$B$9="да",G105="да"),0,1)</x:f>
      </x:c>
      <x:c r="L105" s="11">
        <x:f>IF(K105=0,"—",1/K105)</x:f>
      </x:c>
      <x:c r="M105" s="11">
        <x:f>IF(K105=0,"—",1/(K105*Параметры!$B$3))</x:f>
      </x:c>
      <x:c r="N105" s="12">
        <x:f>IF(K105=0,"—",1/(K105*Параметры!$B$8))</x:f>
      </x:c>
    </x:row>
    <x:row r="106" spans="1:14">
      <x:c r="A106" s="1" t="s">
        <x:v>361</x:v>
      </x:c>
      <x:c r="B106" s="1" t="s">
        <x:v>362</x:v>
      </x:c>
      <x:c r="C106" s="1" t="s">
        <x:v>363</x:v>
      </x:c>
      <x:c r="D106" s="4" t="s">
        <x:v>20</x:v>
      </x:c>
      <x:c r="E106" s="1" t="s">
        <x:v>41</x:v>
      </x:c>
      <x:c r="F106" s="1" t="s">
        <x:v>42</x:v>
      </x:c>
      <x:c r="G106" s="1" t="s">
        <x:v>42</x:v>
      </x:c>
      <x:c r="H106" s="1" t="s">
        <x:v>364</x:v>
      </x:c>
      <x:c r="I106" s="6">
        <x:f>IFERROR(INDEX(Уровни!$B$2:$B$7,MATCH(D106,Уровни!$A$2:$A$7,0)),0)</x:f>
      </x:c>
      <x:c r="J106" s="9">
        <x:f>IF(I106=0,0,I106/SUMIFS($I$2:$I$174,$C$2:$C$174,C106))</x:f>
      </x:c>
      <x:c r="K106" s="10">
        <x:f>J106*IFERROR(INDEX(Категории!$C$2:$C$20,MATCH(C106,Категории!$A$2:$A$20,0)),0)*IF(AND(Параметры!$B$9="да",G106="да"),0,1)</x:f>
      </x:c>
      <x:c r="L106" s="11">
        <x:f>IF(K106=0,"—",1/K106)</x:f>
      </x:c>
      <x:c r="M106" s="11">
        <x:f>IF(K106=0,"—",1/(K106*Параметры!$B$3))</x:f>
      </x:c>
      <x:c r="N106" s="12">
        <x:f>IF(K106=0,"—",1/(K106*Параметры!$B$8))</x:f>
      </x:c>
    </x:row>
    <x:row r="107" spans="1:14">
      <x:c r="A107" s="1" t="s">
        <x:v>365</x:v>
      </x:c>
      <x:c r="B107" s="1" t="s">
        <x:v>366</x:v>
      </x:c>
      <x:c r="C107" s="1" t="s">
        <x:v>363</x:v>
      </x:c>
      <x:c r="D107" s="4" t="s">
        <x:v>20</x:v>
      </x:c>
      <x:c r="E107" s="1" t="s">
        <x:v>41</x:v>
      </x:c>
      <x:c r="F107" s="1" t="s">
        <x:v>42</x:v>
      </x:c>
      <x:c r="G107" s="1" t="s">
        <x:v>42</x:v>
      </x:c>
      <x:c r="H107" s="1" t="s">
        <x:v>367</x:v>
      </x:c>
      <x:c r="I107" s="6">
        <x:f>IFERROR(INDEX(Уровни!$B$2:$B$7,MATCH(D107,Уровни!$A$2:$A$7,0)),0)</x:f>
      </x:c>
      <x:c r="J107" s="9">
        <x:f>IF(I107=0,0,I107/SUMIFS($I$2:$I$174,$C$2:$C$174,C107))</x:f>
      </x:c>
      <x:c r="K107" s="10">
        <x:f>J107*IFERROR(INDEX(Категории!$C$2:$C$20,MATCH(C107,Категории!$A$2:$A$20,0)),0)*IF(AND(Параметры!$B$9="да",G107="да"),0,1)</x:f>
      </x:c>
      <x:c r="L107" s="11">
        <x:f>IF(K107=0,"—",1/K107)</x:f>
      </x:c>
      <x:c r="M107" s="11">
        <x:f>IF(K107=0,"—",1/(K107*Параметры!$B$3))</x:f>
      </x:c>
      <x:c r="N107" s="12">
        <x:f>IF(K107=0,"—",1/(K107*Параметры!$B$8))</x:f>
      </x:c>
    </x:row>
    <x:row r="108" spans="1:14">
      <x:c r="A108" s="1" t="s">
        <x:v>368</x:v>
      </x:c>
      <x:c r="B108" s="1" t="s">
        <x:v>369</x:v>
      </x:c>
      <x:c r="C108" s="1" t="s">
        <x:v>363</x:v>
      </x:c>
      <x:c r="D108" s="4" t="s">
        <x:v>20</x:v>
      </x:c>
      <x:c r="E108" s="1" t="s">
        <x:v>41</x:v>
      </x:c>
      <x:c r="F108" s="1" t="s">
        <x:v>42</x:v>
      </x:c>
      <x:c r="G108" s="1" t="s">
        <x:v>42</x:v>
      </x:c>
      <x:c r="H108" s="1" t="s">
        <x:v>370</x:v>
      </x:c>
      <x:c r="I108" s="6">
        <x:f>IFERROR(INDEX(Уровни!$B$2:$B$7,MATCH(D108,Уровни!$A$2:$A$7,0)),0)</x:f>
      </x:c>
      <x:c r="J108" s="9">
        <x:f>IF(I108=0,0,I108/SUMIFS($I$2:$I$174,$C$2:$C$174,C108))</x:f>
      </x:c>
      <x:c r="K108" s="10">
        <x:f>J108*IFERROR(INDEX(Категории!$C$2:$C$20,MATCH(C108,Категории!$A$2:$A$20,0)),0)*IF(AND(Параметры!$B$9="да",G108="да"),0,1)</x:f>
      </x:c>
      <x:c r="L108" s="11">
        <x:f>IF(K108=0,"—",1/K108)</x:f>
      </x:c>
      <x:c r="M108" s="11">
        <x:f>IF(K108=0,"—",1/(K108*Параметры!$B$3))</x:f>
      </x:c>
      <x:c r="N108" s="12">
        <x:f>IF(K108=0,"—",1/(K108*Параметры!$B$8))</x:f>
      </x:c>
    </x:row>
    <x:row r="109" spans="1:14">
      <x:c r="A109" s="1" t="s">
        <x:v>371</x:v>
      </x:c>
      <x:c r="B109" s="1" t="s">
        <x:v>372</x:v>
      </x:c>
      <x:c r="C109" s="1" t="s">
        <x:v>363</x:v>
      </x:c>
      <x:c r="D109" s="4" t="s">
        <x:v>20</x:v>
      </x:c>
      <x:c r="E109" s="1" t="s">
        <x:v>41</x:v>
      </x:c>
      <x:c r="F109" s="1" t="s">
        <x:v>42</x:v>
      </x:c>
      <x:c r="G109" s="1" t="s">
        <x:v>42</x:v>
      </x:c>
      <x:c r="H109" s="1" t="s">
        <x:v>373</x:v>
      </x:c>
      <x:c r="I109" s="6">
        <x:f>IFERROR(INDEX(Уровни!$B$2:$B$7,MATCH(D109,Уровни!$A$2:$A$7,0)),0)</x:f>
      </x:c>
      <x:c r="J109" s="9">
        <x:f>IF(I109=0,0,I109/SUMIFS($I$2:$I$174,$C$2:$C$174,C109))</x:f>
      </x:c>
      <x:c r="K109" s="10">
        <x:f>J109*IFERROR(INDEX(Категории!$C$2:$C$20,MATCH(C109,Категории!$A$2:$A$20,0)),0)*IF(AND(Параметры!$B$9="да",G109="да"),0,1)</x:f>
      </x:c>
      <x:c r="L109" s="11">
        <x:f>IF(K109=0,"—",1/K109)</x:f>
      </x:c>
      <x:c r="M109" s="11">
        <x:f>IF(K109=0,"—",1/(K109*Параметры!$B$3))</x:f>
      </x:c>
      <x:c r="N109" s="12">
        <x:f>IF(K109=0,"—",1/(K109*Параметры!$B$8))</x:f>
      </x:c>
    </x:row>
    <x:row r="110" spans="1:14">
      <x:c r="A110" s="1" t="s">
        <x:v>374</x:v>
      </x:c>
      <x:c r="B110" s="1" t="s">
        <x:v>375</x:v>
      </x:c>
      <x:c r="C110" s="1" t="s">
        <x:v>363</x:v>
      </x:c>
      <x:c r="D110" s="4" t="s">
        <x:v>20</x:v>
      </x:c>
      <x:c r="E110" s="1" t="s">
        <x:v>41</x:v>
      </x:c>
      <x:c r="F110" s="1" t="s">
        <x:v>42</x:v>
      </x:c>
      <x:c r="G110" s="1" t="s">
        <x:v>42</x:v>
      </x:c>
      <x:c r="H110" s="1" t="s">
        <x:v>376</x:v>
      </x:c>
      <x:c r="I110" s="6">
        <x:f>IFERROR(INDEX(Уровни!$B$2:$B$7,MATCH(D110,Уровни!$A$2:$A$7,0)),0)</x:f>
      </x:c>
      <x:c r="J110" s="9">
        <x:f>IF(I110=0,0,I110/SUMIFS($I$2:$I$174,$C$2:$C$174,C110))</x:f>
      </x:c>
      <x:c r="K110" s="10">
        <x:f>J110*IFERROR(INDEX(Категории!$C$2:$C$20,MATCH(C110,Категории!$A$2:$A$20,0)),0)*IF(AND(Параметры!$B$9="да",G110="да"),0,1)</x:f>
      </x:c>
      <x:c r="L110" s="11">
        <x:f>IF(K110=0,"—",1/K110)</x:f>
      </x:c>
      <x:c r="M110" s="11">
        <x:f>IF(K110=0,"—",1/(K110*Параметры!$B$3))</x:f>
      </x:c>
      <x:c r="N110" s="12">
        <x:f>IF(K110=0,"—",1/(K110*Параметры!$B$8))</x:f>
      </x:c>
    </x:row>
    <x:row r="111" spans="1:14">
      <x:c r="A111" s="1" t="s">
        <x:v>377</x:v>
      </x:c>
      <x:c r="B111" s="1" t="s">
        <x:v>378</x:v>
      </x:c>
      <x:c r="C111" s="1" t="s">
        <x:v>363</x:v>
      </x:c>
      <x:c r="D111" s="4" t="s">
        <x:v>20</x:v>
      </x:c>
      <x:c r="E111" s="1" t="s">
        <x:v>41</x:v>
      </x:c>
      <x:c r="F111" s="1" t="s">
        <x:v>42</x:v>
      </x:c>
      <x:c r="G111" s="1" t="s">
        <x:v>64</x:v>
      </x:c>
      <x:c r="H111" s="1" t="s">
        <x:v>379</x:v>
      </x:c>
      <x:c r="I111" s="6">
        <x:f>IFERROR(INDEX(Уровни!$B$2:$B$7,MATCH(D111,Уровни!$A$2:$A$7,0)),0)</x:f>
      </x:c>
      <x:c r="J111" s="9">
        <x:f>IF(I111=0,0,I111/SUMIFS($I$2:$I$174,$C$2:$C$174,C111))</x:f>
      </x:c>
      <x:c r="K111" s="10">
        <x:f>J111*IFERROR(INDEX(Категории!$C$2:$C$20,MATCH(C111,Категории!$A$2:$A$20,0)),0)*IF(AND(Параметры!$B$9="да",G111="да"),0,1)</x:f>
      </x:c>
      <x:c r="L111" s="11">
        <x:f>IF(K111=0,"—",1/K111)</x:f>
      </x:c>
      <x:c r="M111" s="11">
        <x:f>IF(K111=0,"—",1/(K111*Параметры!$B$3))</x:f>
      </x:c>
      <x:c r="N111" s="12">
        <x:f>IF(K111=0,"—",1/(K111*Параметры!$B$8))</x:f>
      </x:c>
    </x:row>
    <x:row r="112" spans="1:14">
      <x:c r="A112" s="1" t="s">
        <x:v>380</x:v>
      </x:c>
      <x:c r="B112" s="1" t="s">
        <x:v>381</x:v>
      </x:c>
      <x:c r="C112" s="1" t="s">
        <x:v>363</x:v>
      </x:c>
      <x:c r="D112" s="4" t="s">
        <x:v>20</x:v>
      </x:c>
      <x:c r="E112" s="1" t="s">
        <x:v>41</x:v>
      </x:c>
      <x:c r="F112" s="1" t="s">
        <x:v>42</x:v>
      </x:c>
      <x:c r="G112" s="1" t="s">
        <x:v>42</x:v>
      </x:c>
      <x:c r="H112" s="1" t="s">
        <x:v>382</x:v>
      </x:c>
      <x:c r="I112" s="6">
        <x:f>IFERROR(INDEX(Уровни!$B$2:$B$7,MATCH(D112,Уровни!$A$2:$A$7,0)),0)</x:f>
      </x:c>
      <x:c r="J112" s="9">
        <x:f>IF(I112=0,0,I112/SUMIFS($I$2:$I$174,$C$2:$C$174,C112))</x:f>
      </x:c>
      <x:c r="K112" s="10">
        <x:f>J112*IFERROR(INDEX(Категории!$C$2:$C$20,MATCH(C112,Категории!$A$2:$A$20,0)),0)*IF(AND(Параметры!$B$9="да",G112="да"),0,1)</x:f>
      </x:c>
      <x:c r="L112" s="11">
        <x:f>IF(K112=0,"—",1/K112)</x:f>
      </x:c>
      <x:c r="M112" s="11">
        <x:f>IF(K112=0,"—",1/(K112*Параметры!$B$3))</x:f>
      </x:c>
      <x:c r="N112" s="12">
        <x:f>IF(K112=0,"—",1/(K112*Параметры!$B$8))</x:f>
      </x:c>
    </x:row>
    <x:row r="113" spans="1:14">
      <x:c r="A113" s="1" t="s">
        <x:v>383</x:v>
      </x:c>
      <x:c r="B113" s="1" t="s">
        <x:v>384</x:v>
      </x:c>
      <x:c r="C113" s="1" t="s">
        <x:v>363</x:v>
      </x:c>
      <x:c r="D113" s="4" t="s">
        <x:v>21</x:v>
      </x:c>
      <x:c r="E113" s="1" t="s">
        <x:v>41</x:v>
      </x:c>
      <x:c r="F113" s="1" t="s">
        <x:v>42</x:v>
      </x:c>
      <x:c r="G113" s="1" t="s">
        <x:v>42</x:v>
      </x:c>
      <x:c r="H113" s="1" t="s">
        <x:v>385</x:v>
      </x:c>
      <x:c r="I113" s="6">
        <x:f>IFERROR(INDEX(Уровни!$B$2:$B$7,MATCH(D113,Уровни!$A$2:$A$7,0)),0)</x:f>
      </x:c>
      <x:c r="J113" s="9">
        <x:f>IF(I113=0,0,I113/SUMIFS($I$2:$I$174,$C$2:$C$174,C113))</x:f>
      </x:c>
      <x:c r="K113" s="10">
        <x:f>J113*IFERROR(INDEX(Категории!$C$2:$C$20,MATCH(C113,Категории!$A$2:$A$20,0)),0)*IF(AND(Параметры!$B$9="да",G113="да"),0,1)</x:f>
      </x:c>
      <x:c r="L113" s="11">
        <x:f>IF(K113=0,"—",1/K113)</x:f>
      </x:c>
      <x:c r="M113" s="11">
        <x:f>IF(K113=0,"—",1/(K113*Параметры!$B$3))</x:f>
      </x:c>
      <x:c r="N113" s="12">
        <x:f>IF(K113=0,"—",1/(K113*Параметры!$B$8))</x:f>
      </x:c>
    </x:row>
    <x:row r="114" spans="1:14">
      <x:c r="A114" s="1" t="s">
        <x:v>386</x:v>
      </x:c>
      <x:c r="B114" s="1" t="s">
        <x:v>387</x:v>
      </x:c>
      <x:c r="C114" s="1" t="s">
        <x:v>363</x:v>
      </x:c>
      <x:c r="D114" s="4" t="s">
        <x:v>21</x:v>
      </x:c>
      <x:c r="E114" s="1" t="s">
        <x:v>41</x:v>
      </x:c>
      <x:c r="F114" s="1" t="s">
        <x:v>42</x:v>
      </x:c>
      <x:c r="G114" s="1" t="s">
        <x:v>42</x:v>
      </x:c>
      <x:c r="H114" s="1" t="s">
        <x:v>388</x:v>
      </x:c>
      <x:c r="I114" s="6">
        <x:f>IFERROR(INDEX(Уровни!$B$2:$B$7,MATCH(D114,Уровни!$A$2:$A$7,0)),0)</x:f>
      </x:c>
      <x:c r="J114" s="9">
        <x:f>IF(I114=0,0,I114/SUMIFS($I$2:$I$174,$C$2:$C$174,C114))</x:f>
      </x:c>
      <x:c r="K114" s="10">
        <x:f>J114*IFERROR(INDEX(Категории!$C$2:$C$20,MATCH(C114,Категории!$A$2:$A$20,0)),0)*IF(AND(Параметры!$B$9="да",G114="да"),0,1)</x:f>
      </x:c>
      <x:c r="L114" s="11">
        <x:f>IF(K114=0,"—",1/K114)</x:f>
      </x:c>
      <x:c r="M114" s="11">
        <x:f>IF(K114=0,"—",1/(K114*Параметры!$B$3))</x:f>
      </x:c>
      <x:c r="N114" s="12">
        <x:f>IF(K114=0,"—",1/(K114*Параметры!$B$8))</x:f>
      </x:c>
    </x:row>
    <x:row r="115" spans="1:14">
      <x:c r="A115" s="1" t="s">
        <x:v>389</x:v>
      </x:c>
      <x:c r="B115" s="1" t="s">
        <x:v>390</x:v>
      </x:c>
      <x:c r="C115" s="1" t="s">
        <x:v>363</x:v>
      </x:c>
      <x:c r="D115" s="4" t="s">
        <x:v>21</x:v>
      </x:c>
      <x:c r="E115" s="1" t="s">
        <x:v>41</x:v>
      </x:c>
      <x:c r="F115" s="1" t="s">
        <x:v>42</x:v>
      </x:c>
      <x:c r="G115" s="1" t="s">
        <x:v>42</x:v>
      </x:c>
      <x:c r="H115" s="1" t="s">
        <x:v>391</x:v>
      </x:c>
      <x:c r="I115" s="6">
        <x:f>IFERROR(INDEX(Уровни!$B$2:$B$7,MATCH(D115,Уровни!$A$2:$A$7,0)),0)</x:f>
      </x:c>
      <x:c r="J115" s="9">
        <x:f>IF(I115=0,0,I115/SUMIFS($I$2:$I$174,$C$2:$C$174,C115))</x:f>
      </x:c>
      <x:c r="K115" s="10">
        <x:f>J115*IFERROR(INDEX(Категории!$C$2:$C$20,MATCH(C115,Категории!$A$2:$A$20,0)),0)*IF(AND(Параметры!$B$9="да",G115="да"),0,1)</x:f>
      </x:c>
      <x:c r="L115" s="11">
        <x:f>IF(K115=0,"—",1/K115)</x:f>
      </x:c>
      <x:c r="M115" s="11">
        <x:f>IF(K115=0,"—",1/(K115*Параметры!$B$3))</x:f>
      </x:c>
      <x:c r="N115" s="12">
        <x:f>IF(K115=0,"—",1/(K115*Параметры!$B$8))</x:f>
      </x:c>
    </x:row>
    <x:row r="116" spans="1:14">
      <x:c r="A116" s="1" t="s">
        <x:v>392</x:v>
      </x:c>
      <x:c r="B116" s="1" t="s">
        <x:v>393</x:v>
      </x:c>
      <x:c r="C116" s="1" t="s">
        <x:v>363</x:v>
      </x:c>
      <x:c r="D116" s="4" t="s">
        <x:v>21</x:v>
      </x:c>
      <x:c r="E116" s="1" t="s">
        <x:v>41</x:v>
      </x:c>
      <x:c r="F116" s="1" t="s">
        <x:v>42</x:v>
      </x:c>
      <x:c r="G116" s="1" t="s">
        <x:v>42</x:v>
      </x:c>
      <x:c r="H116" s="1" t="s">
        <x:v>394</x:v>
      </x:c>
      <x:c r="I116" s="6">
        <x:f>IFERROR(INDEX(Уровни!$B$2:$B$7,MATCH(D116,Уровни!$A$2:$A$7,0)),0)</x:f>
      </x:c>
      <x:c r="J116" s="9">
        <x:f>IF(I116=0,0,I116/SUMIFS($I$2:$I$174,$C$2:$C$174,C116))</x:f>
      </x:c>
      <x:c r="K116" s="10">
        <x:f>J116*IFERROR(INDEX(Категории!$C$2:$C$20,MATCH(C116,Категории!$A$2:$A$20,0)),0)*IF(AND(Параметры!$B$9="да",G116="да"),0,1)</x:f>
      </x:c>
      <x:c r="L116" s="11">
        <x:f>IF(K116=0,"—",1/K116)</x:f>
      </x:c>
      <x:c r="M116" s="11">
        <x:f>IF(K116=0,"—",1/(K116*Параметры!$B$3))</x:f>
      </x:c>
      <x:c r="N116" s="12">
        <x:f>IF(K116=0,"—",1/(K116*Параметры!$B$8))</x:f>
      </x:c>
    </x:row>
    <x:row r="117" spans="1:14">
      <x:c r="A117" s="1" t="s">
        <x:v>395</x:v>
      </x:c>
      <x:c r="B117" s="1" t="s">
        <x:v>396</x:v>
      </x:c>
      <x:c r="C117" s="1" t="s">
        <x:v>363</x:v>
      </x:c>
      <x:c r="D117" s="4" t="s">
        <x:v>21</x:v>
      </x:c>
      <x:c r="E117" s="1" t="s">
        <x:v>41</x:v>
      </x:c>
      <x:c r="F117" s="1" t="s">
        <x:v>42</x:v>
      </x:c>
      <x:c r="G117" s="1" t="s">
        <x:v>64</x:v>
      </x:c>
      <x:c r="H117" s="1" t="s">
        <x:v>397</x:v>
      </x:c>
      <x:c r="I117" s="6">
        <x:f>IFERROR(INDEX(Уровни!$B$2:$B$7,MATCH(D117,Уровни!$A$2:$A$7,0)),0)</x:f>
      </x:c>
      <x:c r="J117" s="9">
        <x:f>IF(I117=0,0,I117/SUMIFS($I$2:$I$174,$C$2:$C$174,C117))</x:f>
      </x:c>
      <x:c r="K117" s="10">
        <x:f>J117*IFERROR(INDEX(Категории!$C$2:$C$20,MATCH(C117,Категории!$A$2:$A$20,0)),0)*IF(AND(Параметры!$B$9="да",G117="да"),0,1)</x:f>
      </x:c>
      <x:c r="L117" s="11">
        <x:f>IF(K117=0,"—",1/K117)</x:f>
      </x:c>
      <x:c r="M117" s="11">
        <x:f>IF(K117=0,"—",1/(K117*Параметры!$B$3))</x:f>
      </x:c>
      <x:c r="N117" s="12">
        <x:f>IF(K117=0,"—",1/(K117*Параметры!$B$8))</x:f>
      </x:c>
    </x:row>
    <x:row r="118" spans="1:14">
      <x:c r="A118" s="1" t="s">
        <x:v>398</x:v>
      </x:c>
      <x:c r="B118" s="1" t="s">
        <x:v>399</x:v>
      </x:c>
      <x:c r="C118" s="1" t="s">
        <x:v>363</x:v>
      </x:c>
      <x:c r="D118" s="4" t="s">
        <x:v>21</x:v>
      </x:c>
      <x:c r="E118" s="1" t="s">
        <x:v>41</x:v>
      </x:c>
      <x:c r="F118" s="1" t="s">
        <x:v>42</x:v>
      </x:c>
      <x:c r="G118" s="1" t="s">
        <x:v>64</x:v>
      </x:c>
      <x:c r="H118" s="1" t="s">
        <x:v>400</x:v>
      </x:c>
      <x:c r="I118" s="6">
        <x:f>IFERROR(INDEX(Уровни!$B$2:$B$7,MATCH(D118,Уровни!$A$2:$A$7,0)),0)</x:f>
      </x:c>
      <x:c r="J118" s="9">
        <x:f>IF(I118=0,0,I118/SUMIFS($I$2:$I$174,$C$2:$C$174,C118))</x:f>
      </x:c>
      <x:c r="K118" s="10">
        <x:f>J118*IFERROR(INDEX(Категории!$C$2:$C$20,MATCH(C118,Категории!$A$2:$A$20,0)),0)*IF(AND(Параметры!$B$9="да",G118="да"),0,1)</x:f>
      </x:c>
      <x:c r="L118" s="11">
        <x:f>IF(K118=0,"—",1/K118)</x:f>
      </x:c>
      <x:c r="M118" s="11">
        <x:f>IF(K118=0,"—",1/(K118*Параметры!$B$3))</x:f>
      </x:c>
      <x:c r="N118" s="12">
        <x:f>IF(K118=0,"—",1/(K118*Параметры!$B$8))</x:f>
      </x:c>
    </x:row>
    <x:row r="119" spans="1:14">
      <x:c r="A119" s="1" t="s">
        <x:v>401</x:v>
      </x:c>
      <x:c r="B119" s="1" t="s">
        <x:v>402</x:v>
      </x:c>
      <x:c r="C119" s="1" t="s">
        <x:v>363</x:v>
      </x:c>
      <x:c r="D119" s="4" t="s">
        <x:v>21</x:v>
      </x:c>
      <x:c r="E119" s="1" t="s">
        <x:v>41</x:v>
      </x:c>
      <x:c r="F119" s="1" t="s">
        <x:v>42</x:v>
      </x:c>
      <x:c r="G119" s="1" t="s">
        <x:v>64</x:v>
      </x:c>
      <x:c r="H119" s="1" t="s">
        <x:v>403</x:v>
      </x:c>
      <x:c r="I119" s="6">
        <x:f>IFERROR(INDEX(Уровни!$B$2:$B$7,MATCH(D119,Уровни!$A$2:$A$7,0)),0)</x:f>
      </x:c>
      <x:c r="J119" s="9">
        <x:f>IF(I119=0,0,I119/SUMIFS($I$2:$I$174,$C$2:$C$174,C119))</x:f>
      </x:c>
      <x:c r="K119" s="10">
        <x:f>J119*IFERROR(INDEX(Категории!$C$2:$C$20,MATCH(C119,Категории!$A$2:$A$20,0)),0)*IF(AND(Параметры!$B$9="да",G119="да"),0,1)</x:f>
      </x:c>
      <x:c r="L119" s="11">
        <x:f>IF(K119=0,"—",1/K119)</x:f>
      </x:c>
      <x:c r="M119" s="11">
        <x:f>IF(K119=0,"—",1/(K119*Параметры!$B$3))</x:f>
      </x:c>
      <x:c r="N119" s="12">
        <x:f>IF(K119=0,"—",1/(K119*Параметры!$B$8))</x:f>
      </x:c>
    </x:row>
    <x:row r="120" spans="1:14">
      <x:c r="A120" s="1" t="s">
        <x:v>404</x:v>
      </x:c>
      <x:c r="B120" s="1" t="s">
        <x:v>405</x:v>
      </x:c>
      <x:c r="C120" s="1" t="s">
        <x:v>363</x:v>
      </x:c>
      <x:c r="D120" s="4" t="s">
        <x:v>21</x:v>
      </x:c>
      <x:c r="E120" s="1" t="s">
        <x:v>41</x:v>
      </x:c>
      <x:c r="F120" s="1" t="s">
        <x:v>42</x:v>
      </x:c>
      <x:c r="G120" s="1" t="s">
        <x:v>42</x:v>
      </x:c>
      <x:c r="H120" s="1" t="s">
        <x:v>406</x:v>
      </x:c>
      <x:c r="I120" s="6">
        <x:f>IFERROR(INDEX(Уровни!$B$2:$B$7,MATCH(D120,Уровни!$A$2:$A$7,0)),0)</x:f>
      </x:c>
      <x:c r="J120" s="9">
        <x:f>IF(I120=0,0,I120/SUMIFS($I$2:$I$174,$C$2:$C$174,C120))</x:f>
      </x:c>
      <x:c r="K120" s="10">
        <x:f>J120*IFERROR(INDEX(Категории!$C$2:$C$20,MATCH(C120,Категории!$A$2:$A$20,0)),0)*IF(AND(Параметры!$B$9="да",G120="да"),0,1)</x:f>
      </x:c>
      <x:c r="L120" s="11">
        <x:f>IF(K120=0,"—",1/K120)</x:f>
      </x:c>
      <x:c r="M120" s="11">
        <x:f>IF(K120=0,"—",1/(K120*Параметры!$B$3))</x:f>
      </x:c>
      <x:c r="N120" s="12">
        <x:f>IF(K120=0,"—",1/(K120*Параметры!$B$8))</x:f>
      </x:c>
    </x:row>
    <x:row r="121" spans="1:14">
      <x:c r="A121" s="1" t="s">
        <x:v>407</x:v>
      </x:c>
      <x:c r="B121" s="1" t="s">
        <x:v>408</x:v>
      </x:c>
      <x:c r="C121" s="1" t="s">
        <x:v>363</x:v>
      </x:c>
      <x:c r="D121" s="4" t="s">
        <x:v>21</x:v>
      </x:c>
      <x:c r="E121" s="1" t="s">
        <x:v>41</x:v>
      </x:c>
      <x:c r="F121" s="1" t="s">
        <x:v>42</x:v>
      </x:c>
      <x:c r="G121" s="1" t="s">
        <x:v>42</x:v>
      </x:c>
      <x:c r="H121" s="1" t="s">
        <x:v>409</x:v>
      </x:c>
      <x:c r="I121" s="6">
        <x:f>IFERROR(INDEX(Уровни!$B$2:$B$7,MATCH(D121,Уровни!$A$2:$A$7,0)),0)</x:f>
      </x:c>
      <x:c r="J121" s="9">
        <x:f>IF(I121=0,0,I121/SUMIFS($I$2:$I$174,$C$2:$C$174,C121))</x:f>
      </x:c>
      <x:c r="K121" s="10">
        <x:f>J121*IFERROR(INDEX(Категории!$C$2:$C$20,MATCH(C121,Категории!$A$2:$A$20,0)),0)*IF(AND(Параметры!$B$9="да",G121="да"),0,1)</x:f>
      </x:c>
      <x:c r="L121" s="11">
        <x:f>IF(K121=0,"—",1/K121)</x:f>
      </x:c>
      <x:c r="M121" s="11">
        <x:f>IF(K121=0,"—",1/(K121*Параметры!$B$3))</x:f>
      </x:c>
      <x:c r="N121" s="12">
        <x:f>IF(K121=0,"—",1/(K121*Параметры!$B$8))</x:f>
      </x:c>
    </x:row>
    <x:row r="122" spans="1:14">
      <x:c r="A122" s="1" t="s">
        <x:v>410</x:v>
      </x:c>
      <x:c r="B122" s="1" t="s">
        <x:v>411</x:v>
      </x:c>
      <x:c r="C122" s="1" t="s">
        <x:v>363</x:v>
      </x:c>
      <x:c r="D122" s="4" t="s">
        <x:v>21</x:v>
      </x:c>
      <x:c r="E122" s="1" t="s">
        <x:v>71</x:v>
      </x:c>
      <x:c r="F122" s="1" t="s">
        <x:v>42</x:v>
      </x:c>
      <x:c r="G122" s="1" t="s">
        <x:v>42</x:v>
      </x:c>
      <x:c r="H122" s="1" t="s">
        <x:v>412</x:v>
      </x:c>
      <x:c r="I122" s="6">
        <x:f>IFERROR(INDEX(Уровни!$B$2:$B$7,MATCH(D122,Уровни!$A$2:$A$7,0)),0)</x:f>
      </x:c>
      <x:c r="J122" s="9">
        <x:f>IF(I122=0,0,I122/SUMIFS($I$2:$I$174,$C$2:$C$174,C122))</x:f>
      </x:c>
      <x:c r="K122" s="10">
        <x:f>J122*IFERROR(INDEX(Категории!$C$2:$C$20,MATCH(C122,Категории!$A$2:$A$20,0)),0)*IF(AND(Параметры!$B$9="да",G122="да"),0,1)</x:f>
      </x:c>
      <x:c r="L122" s="11">
        <x:f>IF(K122=0,"—",1/K122)</x:f>
      </x:c>
      <x:c r="M122" s="11">
        <x:f>IF(K122=0,"—",1/(K122*Параметры!$B$3))</x:f>
      </x:c>
      <x:c r="N122" s="12">
        <x:f>IF(K122=0,"—",1/(K122*Параметры!$B$8))</x:f>
      </x:c>
    </x:row>
    <x:row r="123" spans="1:14">
      <x:c r="A123" s="1" t="s">
        <x:v>413</x:v>
      </x:c>
      <x:c r="B123" s="1" t="s">
        <x:v>414</x:v>
      </x:c>
      <x:c r="C123" s="1" t="s">
        <x:v>363</x:v>
      </x:c>
      <x:c r="D123" s="4" t="s">
        <x:v>22</x:v>
      </x:c>
      <x:c r="E123" s="1" t="s">
        <x:v>41</x:v>
      </x:c>
      <x:c r="F123" s="1" t="s">
        <x:v>42</x:v>
      </x:c>
      <x:c r="G123" s="1" t="s">
        <x:v>64</x:v>
      </x:c>
      <x:c r="H123" s="1" t="s">
        <x:v>415</x:v>
      </x:c>
      <x:c r="I123" s="6">
        <x:f>IFERROR(INDEX(Уровни!$B$2:$B$7,MATCH(D123,Уровни!$A$2:$A$7,0)),0)</x:f>
      </x:c>
      <x:c r="J123" s="9">
        <x:f>IF(I123=0,0,I123/SUMIFS($I$2:$I$174,$C$2:$C$174,C123))</x:f>
      </x:c>
      <x:c r="K123" s="10">
        <x:f>J123*IFERROR(INDEX(Категории!$C$2:$C$20,MATCH(C123,Категории!$A$2:$A$20,0)),0)*IF(AND(Параметры!$B$9="да",G123="да"),0,1)</x:f>
      </x:c>
      <x:c r="L123" s="11">
        <x:f>IF(K123=0,"—",1/K123)</x:f>
      </x:c>
      <x:c r="M123" s="11">
        <x:f>IF(K123=0,"—",1/(K123*Параметры!$B$3))</x:f>
      </x:c>
      <x:c r="N123" s="12">
        <x:f>IF(K123=0,"—",1/(K123*Параметры!$B$8))</x:f>
      </x:c>
    </x:row>
    <x:row r="124" spans="1:14">
      <x:c r="A124" s="1" t="s">
        <x:v>416</x:v>
      </x:c>
      <x:c r="B124" s="1" t="s">
        <x:v>417</x:v>
      </x:c>
      <x:c r="C124" s="1" t="s">
        <x:v>363</x:v>
      </x:c>
      <x:c r="D124" s="4" t="s">
        <x:v>22</x:v>
      </x:c>
      <x:c r="E124" s="1" t="s">
        <x:v>41</x:v>
      </x:c>
      <x:c r="F124" s="1" t="s">
        <x:v>42</x:v>
      </x:c>
      <x:c r="G124" s="1" t="s">
        <x:v>64</x:v>
      </x:c>
      <x:c r="H124" s="1" t="s">
        <x:v>418</x:v>
      </x:c>
      <x:c r="I124" s="6">
        <x:f>IFERROR(INDEX(Уровни!$B$2:$B$7,MATCH(D124,Уровни!$A$2:$A$7,0)),0)</x:f>
      </x:c>
      <x:c r="J124" s="9">
        <x:f>IF(I124=0,0,I124/SUMIFS($I$2:$I$174,$C$2:$C$174,C124))</x:f>
      </x:c>
      <x:c r="K124" s="10">
        <x:f>J124*IFERROR(INDEX(Категории!$C$2:$C$20,MATCH(C124,Категории!$A$2:$A$20,0)),0)*IF(AND(Параметры!$B$9="да",G124="да"),0,1)</x:f>
      </x:c>
      <x:c r="L124" s="11">
        <x:f>IF(K124=0,"—",1/K124)</x:f>
      </x:c>
      <x:c r="M124" s="11">
        <x:f>IF(K124=0,"—",1/(K124*Параметры!$B$3))</x:f>
      </x:c>
      <x:c r="N124" s="12">
        <x:f>IF(K124=0,"—",1/(K124*Параметры!$B$8))</x:f>
      </x:c>
    </x:row>
    <x:row r="125" spans="1:14">
      <x:c r="A125" s="1" t="s">
        <x:v>419</x:v>
      </x:c>
      <x:c r="B125" s="1" t="s">
        <x:v>420</x:v>
      </x:c>
      <x:c r="C125" s="1" t="s">
        <x:v>363</x:v>
      </x:c>
      <x:c r="D125" s="4" t="s">
        <x:v>22</x:v>
      </x:c>
      <x:c r="E125" s="1" t="s">
        <x:v>41</x:v>
      </x:c>
      <x:c r="F125" s="1" t="s">
        <x:v>64</x:v>
      </x:c>
      <x:c r="G125" s="1" t="s">
        <x:v>42</x:v>
      </x:c>
      <x:c r="H125" s="1" t="s">
        <x:v>421</x:v>
      </x:c>
      <x:c r="I125" s="6">
        <x:f>IFERROR(INDEX(Уровни!$B$2:$B$7,MATCH(D125,Уровни!$A$2:$A$7,0)),0)</x:f>
      </x:c>
      <x:c r="J125" s="9">
        <x:f>IF(I125=0,0,I125/SUMIFS($I$2:$I$174,$C$2:$C$174,C125))</x:f>
      </x:c>
      <x:c r="K125" s="10">
        <x:f>J125*IFERROR(INDEX(Категории!$C$2:$C$20,MATCH(C125,Категории!$A$2:$A$20,0)),0)*IF(AND(Параметры!$B$9="да",G125="да"),0,1)</x:f>
      </x:c>
      <x:c r="L125" s="11">
        <x:f>IF(K125=0,"—",1/K125)</x:f>
      </x:c>
      <x:c r="M125" s="11">
        <x:f>IF(K125=0,"—",1/(K125*Параметры!$B$3))</x:f>
      </x:c>
      <x:c r="N125" s="12">
        <x:f>IF(K125=0,"—",1/(K125*Параметры!$B$8))</x:f>
      </x:c>
    </x:row>
    <x:row r="126" spans="1:14">
      <x:c r="A126" s="1" t="s">
        <x:v>422</x:v>
      </x:c>
      <x:c r="B126" s="1" t="s">
        <x:v>423</x:v>
      </x:c>
      <x:c r="C126" s="1" t="s">
        <x:v>363</x:v>
      </x:c>
      <x:c r="D126" s="4" t="s">
        <x:v>22</x:v>
      </x:c>
      <x:c r="E126" s="1" t="s">
        <x:v>41</x:v>
      </x:c>
      <x:c r="F126" s="1" t="s">
        <x:v>42</x:v>
      </x:c>
      <x:c r="G126" s="1" t="s">
        <x:v>42</x:v>
      </x:c>
      <x:c r="H126" s="1" t="s">
        <x:v>424</x:v>
      </x:c>
      <x:c r="I126" s="6">
        <x:f>IFERROR(INDEX(Уровни!$B$2:$B$7,MATCH(D126,Уровни!$A$2:$A$7,0)),0)</x:f>
      </x:c>
      <x:c r="J126" s="9">
        <x:f>IF(I126=0,0,I126/SUMIFS($I$2:$I$174,$C$2:$C$174,C126))</x:f>
      </x:c>
      <x:c r="K126" s="10">
        <x:f>J126*IFERROR(INDEX(Категории!$C$2:$C$20,MATCH(C126,Категории!$A$2:$A$20,0)),0)*IF(AND(Параметры!$B$9="да",G126="да"),0,1)</x:f>
      </x:c>
      <x:c r="L126" s="11">
        <x:f>IF(K126=0,"—",1/K126)</x:f>
      </x:c>
      <x:c r="M126" s="11">
        <x:f>IF(K126=0,"—",1/(K126*Параметры!$B$3))</x:f>
      </x:c>
      <x:c r="N126" s="12">
        <x:f>IF(K126=0,"—",1/(K126*Параметры!$B$8))</x:f>
      </x:c>
    </x:row>
    <x:row r="127" spans="1:14">
      <x:c r="A127" s="1" t="s">
        <x:v>425</x:v>
      </x:c>
      <x:c r="B127" s="1" t="s">
        <x:v>426</x:v>
      </x:c>
      <x:c r="C127" s="1" t="s">
        <x:v>363</x:v>
      </x:c>
      <x:c r="D127" s="4" t="s">
        <x:v>22</x:v>
      </x:c>
      <x:c r="E127" s="1" t="s">
        <x:v>41</x:v>
      </x:c>
      <x:c r="F127" s="1" t="s">
        <x:v>42</x:v>
      </x:c>
      <x:c r="G127" s="1" t="s">
        <x:v>42</x:v>
      </x:c>
      <x:c r="H127" s="1" t="s">
        <x:v>427</x:v>
      </x:c>
      <x:c r="I127" s="6">
        <x:f>IFERROR(INDEX(Уровни!$B$2:$B$7,MATCH(D127,Уровни!$A$2:$A$7,0)),0)</x:f>
      </x:c>
      <x:c r="J127" s="9">
        <x:f>IF(I127=0,0,I127/SUMIFS($I$2:$I$174,$C$2:$C$174,C127))</x:f>
      </x:c>
      <x:c r="K127" s="10">
        <x:f>J127*IFERROR(INDEX(Категории!$C$2:$C$20,MATCH(C127,Категории!$A$2:$A$20,0)),0)*IF(AND(Параметры!$B$9="да",G127="да"),0,1)</x:f>
      </x:c>
      <x:c r="L127" s="11">
        <x:f>IF(K127=0,"—",1/K127)</x:f>
      </x:c>
      <x:c r="M127" s="11">
        <x:f>IF(K127=0,"—",1/(K127*Параметры!$B$3))</x:f>
      </x:c>
      <x:c r="N127" s="12">
        <x:f>IF(K127=0,"—",1/(K127*Параметры!$B$8))</x:f>
      </x:c>
    </x:row>
    <x:row r="128" spans="1:14">
      <x:c r="A128" s="1" t="s">
        <x:v>428</x:v>
      </x:c>
      <x:c r="B128" s="1" t="s">
        <x:v>429</x:v>
      </x:c>
      <x:c r="C128" s="1" t="s">
        <x:v>363</x:v>
      </x:c>
      <x:c r="D128" s="4" t="s">
        <x:v>22</x:v>
      </x:c>
      <x:c r="E128" s="1" t="s">
        <x:v>41</x:v>
      </x:c>
      <x:c r="F128" s="1" t="s">
        <x:v>42</x:v>
      </x:c>
      <x:c r="G128" s="1" t="s">
        <x:v>42</x:v>
      </x:c>
      <x:c r="H128" s="1" t="s">
        <x:v>430</x:v>
      </x:c>
      <x:c r="I128" s="6">
        <x:f>IFERROR(INDEX(Уровни!$B$2:$B$7,MATCH(D128,Уровни!$A$2:$A$7,0)),0)</x:f>
      </x:c>
      <x:c r="J128" s="9">
        <x:f>IF(I128=0,0,I128/SUMIFS($I$2:$I$174,$C$2:$C$174,C128))</x:f>
      </x:c>
      <x:c r="K128" s="10">
        <x:f>J128*IFERROR(INDEX(Категории!$C$2:$C$20,MATCH(C128,Категории!$A$2:$A$20,0)),0)*IF(AND(Параметры!$B$9="да",G128="да"),0,1)</x:f>
      </x:c>
      <x:c r="L128" s="11">
        <x:f>IF(K128=0,"—",1/K128)</x:f>
      </x:c>
      <x:c r="M128" s="11">
        <x:f>IF(K128=0,"—",1/(K128*Параметры!$B$3))</x:f>
      </x:c>
      <x:c r="N128" s="12">
        <x:f>IF(K128=0,"—",1/(K128*Параметры!$B$8))</x:f>
      </x:c>
    </x:row>
    <x:row r="129" spans="1:14">
      <x:c r="A129" s="1" t="s">
        <x:v>431</x:v>
      </x:c>
      <x:c r="B129" s="1" t="s">
        <x:v>432</x:v>
      </x:c>
      <x:c r="C129" s="1" t="s">
        <x:v>363</x:v>
      </x:c>
      <x:c r="D129" s="4" t="s">
        <x:v>22</x:v>
      </x:c>
      <x:c r="E129" s="1" t="s">
        <x:v>41</x:v>
      </x:c>
      <x:c r="F129" s="1" t="s">
        <x:v>42</x:v>
      </x:c>
      <x:c r="G129" s="1" t="s">
        <x:v>64</x:v>
      </x:c>
      <x:c r="H129" s="1" t="s">
        <x:v>433</x:v>
      </x:c>
      <x:c r="I129" s="6">
        <x:f>IFERROR(INDEX(Уровни!$B$2:$B$7,MATCH(D129,Уровни!$A$2:$A$7,0)),0)</x:f>
      </x:c>
      <x:c r="J129" s="9">
        <x:f>IF(I129=0,0,I129/SUMIFS($I$2:$I$174,$C$2:$C$174,C129))</x:f>
      </x:c>
      <x:c r="K129" s="10">
        <x:f>J129*IFERROR(INDEX(Категории!$C$2:$C$20,MATCH(C129,Категории!$A$2:$A$20,0)),0)*IF(AND(Параметры!$B$9="да",G129="да"),0,1)</x:f>
      </x:c>
      <x:c r="L129" s="11">
        <x:f>IF(K129=0,"—",1/K129)</x:f>
      </x:c>
      <x:c r="M129" s="11">
        <x:f>IF(K129=0,"—",1/(K129*Параметры!$B$3))</x:f>
      </x:c>
      <x:c r="N129" s="12">
        <x:f>IF(K129=0,"—",1/(K129*Параметры!$B$8))</x:f>
      </x:c>
    </x:row>
    <x:row r="130" spans="1:14">
      <x:c r="A130" s="1" t="s">
        <x:v>434</x:v>
      </x:c>
      <x:c r="B130" s="1" t="s">
        <x:v>435</x:v>
      </x:c>
      <x:c r="C130" s="1" t="s">
        <x:v>363</x:v>
      </x:c>
      <x:c r="D130" s="4" t="s">
        <x:v>22</x:v>
      </x:c>
      <x:c r="E130" s="1" t="s">
        <x:v>71</x:v>
      </x:c>
      <x:c r="F130" s="1" t="s">
        <x:v>64</x:v>
      </x:c>
      <x:c r="G130" s="1" t="s">
        <x:v>42</x:v>
      </x:c>
      <x:c r="H130" s="1" t="s">
        <x:v>436</x:v>
      </x:c>
      <x:c r="I130" s="6">
        <x:f>IFERROR(INDEX(Уровни!$B$2:$B$7,MATCH(D130,Уровни!$A$2:$A$7,0)),0)</x:f>
      </x:c>
      <x:c r="J130" s="9">
        <x:f>IF(I130=0,0,I130/SUMIFS($I$2:$I$174,$C$2:$C$174,C130))</x:f>
      </x:c>
      <x:c r="K130" s="10">
        <x:f>J130*IFERROR(INDEX(Категории!$C$2:$C$20,MATCH(C130,Категории!$A$2:$A$20,0)),0)*IF(AND(Параметры!$B$9="да",G130="да"),0,1)</x:f>
      </x:c>
      <x:c r="L130" s="11">
        <x:f>IF(K130=0,"—",1/K130)</x:f>
      </x:c>
      <x:c r="M130" s="11">
        <x:f>IF(K130=0,"—",1/(K130*Параметры!$B$3))</x:f>
      </x:c>
      <x:c r="N130" s="12">
        <x:f>IF(K130=0,"—",1/(K130*Параметры!$B$8))</x:f>
      </x:c>
    </x:row>
    <x:row r="131" spans="1:14">
      <x:c r="A131" s="1" t="s">
        <x:v>437</x:v>
      </x:c>
      <x:c r="B131" s="1" t="s">
        <x:v>438</x:v>
      </x:c>
      <x:c r="C131" s="1" t="s">
        <x:v>363</x:v>
      </x:c>
      <x:c r="D131" s="4" t="s">
        <x:v>22</x:v>
      </x:c>
      <x:c r="E131" s="1" t="s">
        <x:v>71</x:v>
      </x:c>
      <x:c r="F131" s="1" t="s">
        <x:v>64</x:v>
      </x:c>
      <x:c r="G131" s="1" t="s">
        <x:v>42</x:v>
      </x:c>
      <x:c r="H131" s="1" t="s">
        <x:v>439</x:v>
      </x:c>
      <x:c r="I131" s="6">
        <x:f>IFERROR(INDEX(Уровни!$B$2:$B$7,MATCH(D131,Уровни!$A$2:$A$7,0)),0)</x:f>
      </x:c>
      <x:c r="J131" s="9">
        <x:f>IF(I131=0,0,I131/SUMIFS($I$2:$I$174,$C$2:$C$174,C131))</x:f>
      </x:c>
      <x:c r="K131" s="10">
        <x:f>J131*IFERROR(INDEX(Категории!$C$2:$C$20,MATCH(C131,Категории!$A$2:$A$20,0)),0)*IF(AND(Параметры!$B$9="да",G131="да"),0,1)</x:f>
      </x:c>
      <x:c r="L131" s="11">
        <x:f>IF(K131=0,"—",1/K131)</x:f>
      </x:c>
      <x:c r="M131" s="11">
        <x:f>IF(K131=0,"—",1/(K131*Параметры!$B$3))</x:f>
      </x:c>
      <x:c r="N131" s="12">
        <x:f>IF(K131=0,"—",1/(K131*Параметры!$B$8))</x:f>
      </x:c>
    </x:row>
    <x:row r="132" spans="1:14">
      <x:c r="A132" s="1" t="s">
        <x:v>440</x:v>
      </x:c>
      <x:c r="B132" s="1" t="s">
        <x:v>441</x:v>
      </x:c>
      <x:c r="C132" s="1" t="s">
        <x:v>363</x:v>
      </x:c>
      <x:c r="D132" s="4" t="s">
        <x:v>23</x:v>
      </x:c>
      <x:c r="E132" s="1" t="s">
        <x:v>41</x:v>
      </x:c>
      <x:c r="F132" s="1" t="s">
        <x:v>42</x:v>
      </x:c>
      <x:c r="G132" s="1" t="s">
        <x:v>64</x:v>
      </x:c>
      <x:c r="H132" s="1" t="s">
        <x:v>442</x:v>
      </x:c>
      <x:c r="I132" s="6">
        <x:f>IFERROR(INDEX(Уровни!$B$2:$B$7,MATCH(D132,Уровни!$A$2:$A$7,0)),0)</x:f>
      </x:c>
      <x:c r="J132" s="9">
        <x:f>IF(I132=0,0,I132/SUMIFS($I$2:$I$174,$C$2:$C$174,C132))</x:f>
      </x:c>
      <x:c r="K132" s="10">
        <x:f>J132*IFERROR(INDEX(Категории!$C$2:$C$20,MATCH(C132,Категории!$A$2:$A$20,0)),0)*IF(AND(Параметры!$B$9="да",G132="да"),0,1)</x:f>
      </x:c>
      <x:c r="L132" s="11">
        <x:f>IF(K132=0,"—",1/K132)</x:f>
      </x:c>
      <x:c r="M132" s="11">
        <x:f>IF(K132=0,"—",1/(K132*Параметры!$B$3))</x:f>
      </x:c>
      <x:c r="N132" s="12">
        <x:f>IF(K132=0,"—",1/(K132*Параметры!$B$8))</x:f>
      </x:c>
    </x:row>
    <x:row r="133" spans="1:14">
      <x:c r="A133" s="1" t="s">
        <x:v>443</x:v>
      </x:c>
      <x:c r="B133" s="1" t="s">
        <x:v>444</x:v>
      </x:c>
      <x:c r="C133" s="1" t="s">
        <x:v>363</x:v>
      </x:c>
      <x:c r="D133" s="4" t="s">
        <x:v>23</x:v>
      </x:c>
      <x:c r="E133" s="1" t="s">
        <x:v>41</x:v>
      </x:c>
      <x:c r="F133" s="1" t="s">
        <x:v>42</x:v>
      </x:c>
      <x:c r="G133" s="1" t="s">
        <x:v>64</x:v>
      </x:c>
      <x:c r="H133" s="1" t="s">
        <x:v>445</x:v>
      </x:c>
      <x:c r="I133" s="6">
        <x:f>IFERROR(INDEX(Уровни!$B$2:$B$7,MATCH(D133,Уровни!$A$2:$A$7,0)),0)</x:f>
      </x:c>
      <x:c r="J133" s="9">
        <x:f>IF(I133=0,0,I133/SUMIFS($I$2:$I$174,$C$2:$C$174,C133))</x:f>
      </x:c>
      <x:c r="K133" s="10">
        <x:f>J133*IFERROR(INDEX(Категории!$C$2:$C$20,MATCH(C133,Категории!$A$2:$A$20,0)),0)*IF(AND(Параметры!$B$9="да",G133="да"),0,1)</x:f>
      </x:c>
      <x:c r="L133" s="11">
        <x:f>IF(K133=0,"—",1/K133)</x:f>
      </x:c>
      <x:c r="M133" s="11">
        <x:f>IF(K133=0,"—",1/(K133*Параметры!$B$3))</x:f>
      </x:c>
      <x:c r="N133" s="12">
        <x:f>IF(K133=0,"—",1/(K133*Параметры!$B$8))</x:f>
      </x:c>
    </x:row>
    <x:row r="134" spans="1:14">
      <x:c r="A134" s="1" t="s">
        <x:v>446</x:v>
      </x:c>
      <x:c r="B134" s="1" t="s">
        <x:v>447</x:v>
      </x:c>
      <x:c r="C134" s="1" t="s">
        <x:v>363</x:v>
      </x:c>
      <x:c r="D134" s="4" t="s">
        <x:v>23</x:v>
      </x:c>
      <x:c r="E134" s="1" t="s">
        <x:v>71</x:v>
      </x:c>
      <x:c r="F134" s="1" t="s">
        <x:v>64</x:v>
      </x:c>
      <x:c r="G134" s="1" t="s">
        <x:v>42</x:v>
      </x:c>
      <x:c r="H134" s="1" t="s">
        <x:v>448</x:v>
      </x:c>
      <x:c r="I134" s="6">
        <x:f>IFERROR(INDEX(Уровни!$B$2:$B$7,MATCH(D134,Уровни!$A$2:$A$7,0)),0)</x:f>
      </x:c>
      <x:c r="J134" s="9">
        <x:f>IF(I134=0,0,I134/SUMIFS($I$2:$I$174,$C$2:$C$174,C134))</x:f>
      </x:c>
      <x:c r="K134" s="10">
        <x:f>J134*IFERROR(INDEX(Категории!$C$2:$C$20,MATCH(C134,Категории!$A$2:$A$20,0)),0)*IF(AND(Параметры!$B$9="да",G134="да"),0,1)</x:f>
      </x:c>
      <x:c r="L134" s="11">
        <x:f>IF(K134=0,"—",1/K134)</x:f>
      </x:c>
      <x:c r="M134" s="11">
        <x:f>IF(K134=0,"—",1/(K134*Параметры!$B$3))</x:f>
      </x:c>
      <x:c r="N134" s="12">
        <x:f>IF(K134=0,"—",1/(K134*Параметры!$B$8))</x:f>
      </x:c>
    </x:row>
    <x:row r="135" spans="1:14">
      <x:c r="A135" s="1" t="s">
        <x:v>449</x:v>
      </x:c>
      <x:c r="B135" s="1" t="s">
        <x:v>450</x:v>
      </x:c>
      <x:c r="C135" s="1" t="s">
        <x:v>363</x:v>
      </x:c>
      <x:c r="D135" s="4" t="s">
        <x:v>23</x:v>
      </x:c>
      <x:c r="E135" s="1" t="s">
        <x:v>71</x:v>
      </x:c>
      <x:c r="F135" s="1" t="s">
        <x:v>64</x:v>
      </x:c>
      <x:c r="G135" s="1" t="s">
        <x:v>42</x:v>
      </x:c>
      <x:c r="H135" s="1" t="s">
        <x:v>451</x:v>
      </x:c>
      <x:c r="I135" s="6">
        <x:f>IFERROR(INDEX(Уровни!$B$2:$B$7,MATCH(D135,Уровни!$A$2:$A$7,0)),0)</x:f>
      </x:c>
      <x:c r="J135" s="9">
        <x:f>IF(I135=0,0,I135/SUMIFS($I$2:$I$174,$C$2:$C$174,C135))</x:f>
      </x:c>
      <x:c r="K135" s="10">
        <x:f>J135*IFERROR(INDEX(Категории!$C$2:$C$20,MATCH(C135,Категории!$A$2:$A$20,0)),0)*IF(AND(Параметры!$B$9="да",G135="да"),0,1)</x:f>
      </x:c>
      <x:c r="L135" s="11">
        <x:f>IF(K135=0,"—",1/K135)</x:f>
      </x:c>
      <x:c r="M135" s="11">
        <x:f>IF(K135=0,"—",1/(K135*Параметры!$B$3))</x:f>
      </x:c>
      <x:c r="N135" s="12">
        <x:f>IF(K135=0,"—",1/(K135*Параметры!$B$8))</x:f>
      </x:c>
    </x:row>
    <x:row r="136" spans="1:14">
      <x:c r="A136" s="1" t="s">
        <x:v>452</x:v>
      </x:c>
      <x:c r="B136" s="1" t="s">
        <x:v>453</x:v>
      </x:c>
      <x:c r="C136" s="1" t="s">
        <x:v>363</x:v>
      </x:c>
      <x:c r="D136" s="4" t="s">
        <x:v>23</x:v>
      </x:c>
      <x:c r="E136" s="1" t="s">
        <x:v>71</x:v>
      </x:c>
      <x:c r="F136" s="1" t="s">
        <x:v>64</x:v>
      </x:c>
      <x:c r="G136" s="1" t="s">
        <x:v>42</x:v>
      </x:c>
      <x:c r="H136" s="1" t="s">
        <x:v>454</x:v>
      </x:c>
      <x:c r="I136" s="6">
        <x:f>IFERROR(INDEX(Уровни!$B$2:$B$7,MATCH(D136,Уровни!$A$2:$A$7,0)),0)</x:f>
      </x:c>
      <x:c r="J136" s="9">
        <x:f>IF(I136=0,0,I136/SUMIFS($I$2:$I$174,$C$2:$C$174,C136))</x:f>
      </x:c>
      <x:c r="K136" s="10">
        <x:f>J136*IFERROR(INDEX(Категории!$C$2:$C$20,MATCH(C136,Категории!$A$2:$A$20,0)),0)*IF(AND(Параметры!$B$9="да",G136="да"),0,1)</x:f>
      </x:c>
      <x:c r="L136" s="11">
        <x:f>IF(K136=0,"—",1/K136)</x:f>
      </x:c>
      <x:c r="M136" s="11">
        <x:f>IF(K136=0,"—",1/(K136*Параметры!$B$3))</x:f>
      </x:c>
      <x:c r="N136" s="12">
        <x:f>IF(K136=0,"—",1/(K136*Параметры!$B$8))</x:f>
      </x:c>
    </x:row>
    <x:row r="137" spans="1:14">
      <x:c r="A137" s="1" t="s">
        <x:v>455</x:v>
      </x:c>
      <x:c r="B137" s="1" t="s">
        <x:v>456</x:v>
      </x:c>
      <x:c r="C137" s="1" t="s">
        <x:v>363</x:v>
      </x:c>
      <x:c r="D137" s="4" t="s">
        <x:v>23</x:v>
      </x:c>
      <x:c r="E137" s="1" t="s">
        <x:v>71</x:v>
      </x:c>
      <x:c r="F137" s="1" t="s">
        <x:v>64</x:v>
      </x:c>
      <x:c r="G137" s="1" t="s">
        <x:v>64</x:v>
      </x:c>
      <x:c r="H137" s="1" t="s">
        <x:v>457</x:v>
      </x:c>
      <x:c r="I137" s="6">
        <x:f>IFERROR(INDEX(Уровни!$B$2:$B$7,MATCH(D137,Уровни!$A$2:$A$7,0)),0)</x:f>
      </x:c>
      <x:c r="J137" s="9">
        <x:f>IF(I137=0,0,I137/SUMIFS($I$2:$I$174,$C$2:$C$174,C137))</x:f>
      </x:c>
      <x:c r="K137" s="10">
        <x:f>J137*IFERROR(INDEX(Категории!$C$2:$C$20,MATCH(C137,Категории!$A$2:$A$20,0)),0)*IF(AND(Параметры!$B$9="да",G137="да"),0,1)</x:f>
      </x:c>
      <x:c r="L137" s="11">
        <x:f>IF(K137=0,"—",1/K137)</x:f>
      </x:c>
      <x:c r="M137" s="11">
        <x:f>IF(K137=0,"—",1/(K137*Параметры!$B$3))</x:f>
      </x:c>
      <x:c r="N137" s="12">
        <x:f>IF(K137=0,"—",1/(K137*Параметры!$B$8))</x:f>
      </x:c>
    </x:row>
    <x:row r="138" spans="1:14">
      <x:c r="A138" s="1" t="s">
        <x:v>458</x:v>
      </x:c>
      <x:c r="B138" s="1" t="s">
        <x:v>459</x:v>
      </x:c>
      <x:c r="C138" s="1" t="s">
        <x:v>363</x:v>
      </x:c>
      <x:c r="D138" s="4" t="s">
        <x:v>23</x:v>
      </x:c>
      <x:c r="E138" s="1" t="s">
        <x:v>71</x:v>
      </x:c>
      <x:c r="F138" s="1" t="s">
        <x:v>64</x:v>
      </x:c>
      <x:c r="G138" s="1" t="s">
        <x:v>64</x:v>
      </x:c>
      <x:c r="H138" s="1" t="s">
        <x:v>460</x:v>
      </x:c>
      <x:c r="I138" s="6">
        <x:f>IFERROR(INDEX(Уровни!$B$2:$B$7,MATCH(D138,Уровни!$A$2:$A$7,0)),0)</x:f>
      </x:c>
      <x:c r="J138" s="9">
        <x:f>IF(I138=0,0,I138/SUMIFS($I$2:$I$174,$C$2:$C$174,C138))</x:f>
      </x:c>
      <x:c r="K138" s="10">
        <x:f>J138*IFERROR(INDEX(Категории!$C$2:$C$20,MATCH(C138,Категории!$A$2:$A$20,0)),0)*IF(AND(Параметры!$B$9="да",G138="да"),0,1)</x:f>
      </x:c>
      <x:c r="L138" s="11">
        <x:f>IF(K138=0,"—",1/K138)</x:f>
      </x:c>
      <x:c r="M138" s="11">
        <x:f>IF(K138=0,"—",1/(K138*Параметры!$B$3))</x:f>
      </x:c>
      <x:c r="N138" s="12">
        <x:f>IF(K138=0,"—",1/(K138*Параметры!$B$8))</x:f>
      </x:c>
    </x:row>
    <x:row r="139" spans="1:14">
      <x:c r="A139" s="1" t="s">
        <x:v>461</x:v>
      </x:c>
      <x:c r="B139" s="1" t="s">
        <x:v>462</x:v>
      </x:c>
      <x:c r="C139" s="1" t="s">
        <x:v>363</x:v>
      </x:c>
      <x:c r="D139" s="4" t="s">
        <x:v>23</x:v>
      </x:c>
      <x:c r="E139" s="1" t="s">
        <x:v>71</x:v>
      </x:c>
      <x:c r="F139" s="1" t="s">
        <x:v>64</x:v>
      </x:c>
      <x:c r="G139" s="1" t="s">
        <x:v>64</x:v>
      </x:c>
      <x:c r="H139" s="1" t="s">
        <x:v>463</x:v>
      </x:c>
      <x:c r="I139" s="6">
        <x:f>IFERROR(INDEX(Уровни!$B$2:$B$7,MATCH(D139,Уровни!$A$2:$A$7,0)),0)</x:f>
      </x:c>
      <x:c r="J139" s="9">
        <x:f>IF(I139=0,0,I139/SUMIFS($I$2:$I$174,$C$2:$C$174,C139))</x:f>
      </x:c>
      <x:c r="K139" s="10">
        <x:f>J139*IFERROR(INDEX(Категории!$C$2:$C$20,MATCH(C139,Категории!$A$2:$A$20,0)),0)*IF(AND(Параметры!$B$9="да",G139="да"),0,1)</x:f>
      </x:c>
      <x:c r="L139" s="11">
        <x:f>IF(K139=0,"—",1/K139)</x:f>
      </x:c>
      <x:c r="M139" s="11">
        <x:f>IF(K139=0,"—",1/(K139*Параметры!$B$3))</x:f>
      </x:c>
      <x:c r="N139" s="12">
        <x:f>IF(K139=0,"—",1/(K139*Параметры!$B$8))</x:f>
      </x:c>
    </x:row>
    <x:row r="140" spans="1:14">
      <x:c r="A140" s="1" t="s">
        <x:v>464</x:v>
      </x:c>
      <x:c r="B140" s="1" t="s">
        <x:v>465</x:v>
      </x:c>
      <x:c r="C140" s="1" t="s">
        <x:v>466</x:v>
      </x:c>
      <x:c r="D140" s="4" t="s">
        <x:v>20</x:v>
      </x:c>
      <x:c r="E140" s="1" t="s">
        <x:v>41</x:v>
      </x:c>
      <x:c r="F140" s="1" t="s">
        <x:v>42</x:v>
      </x:c>
      <x:c r="G140" s="1" t="s">
        <x:v>42</x:v>
      </x:c>
      <x:c r="H140" s="1" t="s">
        <x:v>467</x:v>
      </x:c>
      <x:c r="I140" s="6">
        <x:f>IFERROR(INDEX(Уровни!$B$2:$B$7,MATCH(D140,Уровни!$A$2:$A$7,0)),0)</x:f>
      </x:c>
      <x:c r="J140" s="9">
        <x:f>IF(I140=0,0,I140/SUMIFS($I$2:$I$174,$C$2:$C$174,C140))</x:f>
      </x:c>
      <x:c r="K140" s="10">
        <x:f>J140*IFERROR(INDEX(Категории!$C$2:$C$20,MATCH(C140,Категории!$A$2:$A$20,0)),0)*IF(AND(Параметры!$B$9="да",G140="да"),0,1)</x:f>
      </x:c>
      <x:c r="L140" s="11">
        <x:f>IF(K140=0,"—",1/K140)</x:f>
      </x:c>
      <x:c r="M140" s="11">
        <x:f>IF(K140=0,"—",1/(K140*Параметры!$B$3))</x:f>
      </x:c>
      <x:c r="N140" s="12">
        <x:f>IF(K140=0,"—",1/(K140*Параметры!$B$8))</x:f>
      </x:c>
    </x:row>
    <x:row r="141" spans="1:14">
      <x:c r="A141" s="1" t="s">
        <x:v>468</x:v>
      </x:c>
      <x:c r="B141" s="1" t="s">
        <x:v>469</x:v>
      </x:c>
      <x:c r="C141" s="1" t="s">
        <x:v>466</x:v>
      </x:c>
      <x:c r="D141" s="4" t="s">
        <x:v>20</x:v>
      </x:c>
      <x:c r="E141" s="1" t="s">
        <x:v>41</x:v>
      </x:c>
      <x:c r="F141" s="1" t="s">
        <x:v>42</x:v>
      </x:c>
      <x:c r="G141" s="1" t="s">
        <x:v>42</x:v>
      </x:c>
      <x:c r="H141" s="1" t="s">
        <x:v>470</x:v>
      </x:c>
      <x:c r="I141" s="6">
        <x:f>IFERROR(INDEX(Уровни!$B$2:$B$7,MATCH(D141,Уровни!$A$2:$A$7,0)),0)</x:f>
      </x:c>
      <x:c r="J141" s="9">
        <x:f>IF(I141=0,0,I141/SUMIFS($I$2:$I$174,$C$2:$C$174,C141))</x:f>
      </x:c>
      <x:c r="K141" s="10">
        <x:f>J141*IFERROR(INDEX(Категории!$C$2:$C$20,MATCH(C141,Категории!$A$2:$A$20,0)),0)*IF(AND(Параметры!$B$9="да",G141="да"),0,1)</x:f>
      </x:c>
      <x:c r="L141" s="11">
        <x:f>IF(K141=0,"—",1/K141)</x:f>
      </x:c>
      <x:c r="M141" s="11">
        <x:f>IF(K141=0,"—",1/(K141*Параметры!$B$3))</x:f>
      </x:c>
      <x:c r="N141" s="12">
        <x:f>IF(K141=0,"—",1/(K141*Параметры!$B$8))</x:f>
      </x:c>
    </x:row>
    <x:row r="142" spans="1:14">
      <x:c r="A142" s="1" t="s">
        <x:v>471</x:v>
      </x:c>
      <x:c r="B142" s="1" t="s">
        <x:v>472</x:v>
      </x:c>
      <x:c r="C142" s="1" t="s">
        <x:v>466</x:v>
      </x:c>
      <x:c r="D142" s="4" t="s">
        <x:v>20</x:v>
      </x:c>
      <x:c r="E142" s="1" t="s">
        <x:v>41</x:v>
      </x:c>
      <x:c r="F142" s="1" t="s">
        <x:v>42</x:v>
      </x:c>
      <x:c r="G142" s="1" t="s">
        <x:v>42</x:v>
      </x:c>
      <x:c r="H142" s="1" t="s">
        <x:v>473</x:v>
      </x:c>
      <x:c r="I142" s="6">
        <x:f>IFERROR(INDEX(Уровни!$B$2:$B$7,MATCH(D142,Уровни!$A$2:$A$7,0)),0)</x:f>
      </x:c>
      <x:c r="J142" s="9">
        <x:f>IF(I142=0,0,I142/SUMIFS($I$2:$I$174,$C$2:$C$174,C142))</x:f>
      </x:c>
      <x:c r="K142" s="10">
        <x:f>J142*IFERROR(INDEX(Категории!$C$2:$C$20,MATCH(C142,Категории!$A$2:$A$20,0)),0)*IF(AND(Параметры!$B$9="да",G142="да"),0,1)</x:f>
      </x:c>
      <x:c r="L142" s="11">
        <x:f>IF(K142=0,"—",1/K142)</x:f>
      </x:c>
      <x:c r="M142" s="11">
        <x:f>IF(K142=0,"—",1/(K142*Параметры!$B$3))</x:f>
      </x:c>
      <x:c r="N142" s="12">
        <x:f>IF(K142=0,"—",1/(K142*Параметры!$B$8))</x:f>
      </x:c>
    </x:row>
    <x:row r="143" spans="1:14">
      <x:c r="A143" s="1" t="s">
        <x:v>474</x:v>
      </x:c>
      <x:c r="B143" s="1" t="s">
        <x:v>475</x:v>
      </x:c>
      <x:c r="C143" s="1" t="s">
        <x:v>466</x:v>
      </x:c>
      <x:c r="D143" s="4" t="s">
        <x:v>20</x:v>
      </x:c>
      <x:c r="E143" s="1" t="s">
        <x:v>41</x:v>
      </x:c>
      <x:c r="F143" s="1" t="s">
        <x:v>42</x:v>
      </x:c>
      <x:c r="G143" s="1" t="s">
        <x:v>42</x:v>
      </x:c>
      <x:c r="H143" s="1" t="s">
        <x:v>476</x:v>
      </x:c>
      <x:c r="I143" s="6">
        <x:f>IFERROR(INDEX(Уровни!$B$2:$B$7,MATCH(D143,Уровни!$A$2:$A$7,0)),0)</x:f>
      </x:c>
      <x:c r="J143" s="9">
        <x:f>IF(I143=0,0,I143/SUMIFS($I$2:$I$174,$C$2:$C$174,C143))</x:f>
      </x:c>
      <x:c r="K143" s="10">
        <x:f>J143*IFERROR(INDEX(Категории!$C$2:$C$20,MATCH(C143,Категории!$A$2:$A$20,0)),0)*IF(AND(Параметры!$B$9="да",G143="да"),0,1)</x:f>
      </x:c>
      <x:c r="L143" s="11">
        <x:f>IF(K143=0,"—",1/K143)</x:f>
      </x:c>
      <x:c r="M143" s="11">
        <x:f>IF(K143=0,"—",1/(K143*Параметры!$B$3))</x:f>
      </x:c>
      <x:c r="N143" s="12">
        <x:f>IF(K143=0,"—",1/(K143*Параметры!$B$8))</x:f>
      </x:c>
    </x:row>
    <x:row r="144" spans="1:14">
      <x:c r="A144" s="1" t="s">
        <x:v>477</x:v>
      </x:c>
      <x:c r="B144" s="1" t="s">
        <x:v>478</x:v>
      </x:c>
      <x:c r="C144" s="1" t="s">
        <x:v>466</x:v>
      </x:c>
      <x:c r="D144" s="4" t="s">
        <x:v>20</x:v>
      </x:c>
      <x:c r="E144" s="1" t="s">
        <x:v>41</x:v>
      </x:c>
      <x:c r="F144" s="1" t="s">
        <x:v>42</x:v>
      </x:c>
      <x:c r="G144" s="1" t="s">
        <x:v>42</x:v>
      </x:c>
      <x:c r="H144" s="1" t="s">
        <x:v>479</x:v>
      </x:c>
      <x:c r="I144" s="6">
        <x:f>IFERROR(INDEX(Уровни!$B$2:$B$7,MATCH(D144,Уровни!$A$2:$A$7,0)),0)</x:f>
      </x:c>
      <x:c r="J144" s="9">
        <x:f>IF(I144=0,0,I144/SUMIFS($I$2:$I$174,$C$2:$C$174,C144))</x:f>
      </x:c>
      <x:c r="K144" s="10">
        <x:f>J144*IFERROR(INDEX(Категории!$C$2:$C$20,MATCH(C144,Категории!$A$2:$A$20,0)),0)*IF(AND(Параметры!$B$9="да",G144="да"),0,1)</x:f>
      </x:c>
      <x:c r="L144" s="11">
        <x:f>IF(K144=0,"—",1/K144)</x:f>
      </x:c>
      <x:c r="M144" s="11">
        <x:f>IF(K144=0,"—",1/(K144*Параметры!$B$3))</x:f>
      </x:c>
      <x:c r="N144" s="12">
        <x:f>IF(K144=0,"—",1/(K144*Параметры!$B$8))</x:f>
      </x:c>
    </x:row>
    <x:row r="145" spans="1:14">
      <x:c r="A145" s="1" t="s">
        <x:v>480</x:v>
      </x:c>
      <x:c r="B145" s="1" t="s">
        <x:v>481</x:v>
      </x:c>
      <x:c r="C145" s="1" t="s">
        <x:v>466</x:v>
      </x:c>
      <x:c r="D145" s="4" t="s">
        <x:v>20</x:v>
      </x:c>
      <x:c r="E145" s="1" t="s">
        <x:v>41</x:v>
      </x:c>
      <x:c r="F145" s="1" t="s">
        <x:v>42</x:v>
      </x:c>
      <x:c r="G145" s="1" t="s">
        <x:v>42</x:v>
      </x:c>
      <x:c r="H145" s="1" t="s">
        <x:v>482</x:v>
      </x:c>
      <x:c r="I145" s="6">
        <x:f>IFERROR(INDEX(Уровни!$B$2:$B$7,MATCH(D145,Уровни!$A$2:$A$7,0)),0)</x:f>
      </x:c>
      <x:c r="J145" s="9">
        <x:f>IF(I145=0,0,I145/SUMIFS($I$2:$I$174,$C$2:$C$174,C145))</x:f>
      </x:c>
      <x:c r="K145" s="10">
        <x:f>J145*IFERROR(INDEX(Категории!$C$2:$C$20,MATCH(C145,Категории!$A$2:$A$20,0)),0)*IF(AND(Параметры!$B$9="да",G145="да"),0,1)</x:f>
      </x:c>
      <x:c r="L145" s="11">
        <x:f>IF(K145=0,"—",1/K145)</x:f>
      </x:c>
      <x:c r="M145" s="11">
        <x:f>IF(K145=0,"—",1/(K145*Параметры!$B$3))</x:f>
      </x:c>
      <x:c r="N145" s="12">
        <x:f>IF(K145=0,"—",1/(K145*Параметры!$B$8))</x:f>
      </x:c>
    </x:row>
    <x:row r="146" spans="1:14">
      <x:c r="A146" s="1" t="s">
        <x:v>483</x:v>
      </x:c>
      <x:c r="B146" s="1" t="s">
        <x:v>484</x:v>
      </x:c>
      <x:c r="C146" s="1" t="s">
        <x:v>466</x:v>
      </x:c>
      <x:c r="D146" s="4" t="s">
        <x:v>20</x:v>
      </x:c>
      <x:c r="E146" s="1" t="s">
        <x:v>41</x:v>
      </x:c>
      <x:c r="F146" s="1" t="s">
        <x:v>42</x:v>
      </x:c>
      <x:c r="G146" s="1" t="s">
        <x:v>64</x:v>
      </x:c>
      <x:c r="H146" s="1" t="s">
        <x:v>485</x:v>
      </x:c>
      <x:c r="I146" s="6">
        <x:f>IFERROR(INDEX(Уровни!$B$2:$B$7,MATCH(D146,Уровни!$A$2:$A$7,0)),0)</x:f>
      </x:c>
      <x:c r="J146" s="9">
        <x:f>IF(I146=0,0,I146/SUMIFS($I$2:$I$174,$C$2:$C$174,C146))</x:f>
      </x:c>
      <x:c r="K146" s="10">
        <x:f>J146*IFERROR(INDEX(Категории!$C$2:$C$20,MATCH(C146,Категории!$A$2:$A$20,0)),0)*IF(AND(Параметры!$B$9="да",G146="да"),0,1)</x:f>
      </x:c>
      <x:c r="L146" s="11">
        <x:f>IF(K146=0,"—",1/K146)</x:f>
      </x:c>
      <x:c r="M146" s="11">
        <x:f>IF(K146=0,"—",1/(K146*Параметры!$B$3))</x:f>
      </x:c>
      <x:c r="N146" s="12">
        <x:f>IF(K146=0,"—",1/(K146*Параметры!$B$8))</x:f>
      </x:c>
    </x:row>
    <x:row r="147" spans="1:14">
      <x:c r="A147" s="1" t="s">
        <x:v>486</x:v>
      </x:c>
      <x:c r="B147" s="1" t="s">
        <x:v>487</x:v>
      </x:c>
      <x:c r="C147" s="1" t="s">
        <x:v>466</x:v>
      </x:c>
      <x:c r="D147" s="4" t="s">
        <x:v>20</x:v>
      </x:c>
      <x:c r="E147" s="1" t="s">
        <x:v>41</x:v>
      </x:c>
      <x:c r="F147" s="1" t="s">
        <x:v>42</x:v>
      </x:c>
      <x:c r="G147" s="1" t="s">
        <x:v>42</x:v>
      </x:c>
      <x:c r="H147" s="1" t="s">
        <x:v>488</x:v>
      </x:c>
      <x:c r="I147" s="6">
        <x:f>IFERROR(INDEX(Уровни!$B$2:$B$7,MATCH(D147,Уровни!$A$2:$A$7,0)),0)</x:f>
      </x:c>
      <x:c r="J147" s="9">
        <x:f>IF(I147=0,0,I147/SUMIFS($I$2:$I$174,$C$2:$C$174,C147))</x:f>
      </x:c>
      <x:c r="K147" s="10">
        <x:f>J147*IFERROR(INDEX(Категории!$C$2:$C$20,MATCH(C147,Категории!$A$2:$A$20,0)),0)*IF(AND(Параметры!$B$9="да",G147="да"),0,1)</x:f>
      </x:c>
      <x:c r="L147" s="11">
        <x:f>IF(K147=0,"—",1/K147)</x:f>
      </x:c>
      <x:c r="M147" s="11">
        <x:f>IF(K147=0,"—",1/(K147*Параметры!$B$3))</x:f>
      </x:c>
      <x:c r="N147" s="12">
        <x:f>IF(K147=0,"—",1/(K147*Параметры!$B$8))</x:f>
      </x:c>
    </x:row>
    <x:row r="148" spans="1:14">
      <x:c r="A148" s="1" t="s">
        <x:v>489</x:v>
      </x:c>
      <x:c r="B148" s="1" t="s">
        <x:v>490</x:v>
      </x:c>
      <x:c r="C148" s="1" t="s">
        <x:v>466</x:v>
      </x:c>
      <x:c r="D148" s="4" t="s">
        <x:v>21</x:v>
      </x:c>
      <x:c r="E148" s="1" t="s">
        <x:v>41</x:v>
      </x:c>
      <x:c r="F148" s="1" t="s">
        <x:v>42</x:v>
      </x:c>
      <x:c r="G148" s="1" t="s">
        <x:v>64</x:v>
      </x:c>
      <x:c r="H148" s="1" t="s">
        <x:v>491</x:v>
      </x:c>
      <x:c r="I148" s="6">
        <x:f>IFERROR(INDEX(Уровни!$B$2:$B$7,MATCH(D148,Уровни!$A$2:$A$7,0)),0)</x:f>
      </x:c>
      <x:c r="J148" s="9">
        <x:f>IF(I148=0,0,I148/SUMIFS($I$2:$I$174,$C$2:$C$174,C148))</x:f>
      </x:c>
      <x:c r="K148" s="10">
        <x:f>J148*IFERROR(INDEX(Категории!$C$2:$C$20,MATCH(C148,Категории!$A$2:$A$20,0)),0)*IF(AND(Параметры!$B$9="да",G148="да"),0,1)</x:f>
      </x:c>
      <x:c r="L148" s="11">
        <x:f>IF(K148=0,"—",1/K148)</x:f>
      </x:c>
      <x:c r="M148" s="11">
        <x:f>IF(K148=0,"—",1/(K148*Параметры!$B$3))</x:f>
      </x:c>
      <x:c r="N148" s="12">
        <x:f>IF(K148=0,"—",1/(K148*Параметры!$B$8))</x:f>
      </x:c>
    </x:row>
    <x:row r="149" spans="1:14">
      <x:c r="A149" s="1" t="s">
        <x:v>492</x:v>
      </x:c>
      <x:c r="B149" s="1" t="s">
        <x:v>493</x:v>
      </x:c>
      <x:c r="C149" s="1" t="s">
        <x:v>466</x:v>
      </x:c>
      <x:c r="D149" s="4" t="s">
        <x:v>21</x:v>
      </x:c>
      <x:c r="E149" s="1" t="s">
        <x:v>41</x:v>
      </x:c>
      <x:c r="F149" s="1" t="s">
        <x:v>42</x:v>
      </x:c>
      <x:c r="G149" s="1" t="s">
        <x:v>42</x:v>
      </x:c>
      <x:c r="H149" s="1" t="s">
        <x:v>494</x:v>
      </x:c>
      <x:c r="I149" s="6">
        <x:f>IFERROR(INDEX(Уровни!$B$2:$B$7,MATCH(D149,Уровни!$A$2:$A$7,0)),0)</x:f>
      </x:c>
      <x:c r="J149" s="9">
        <x:f>IF(I149=0,0,I149/SUMIFS($I$2:$I$174,$C$2:$C$174,C149))</x:f>
      </x:c>
      <x:c r="K149" s="10">
        <x:f>J149*IFERROR(INDEX(Категории!$C$2:$C$20,MATCH(C149,Категории!$A$2:$A$20,0)),0)*IF(AND(Параметры!$B$9="да",G149="да"),0,1)</x:f>
      </x:c>
      <x:c r="L149" s="11">
        <x:f>IF(K149=0,"—",1/K149)</x:f>
      </x:c>
      <x:c r="M149" s="11">
        <x:f>IF(K149=0,"—",1/(K149*Параметры!$B$3))</x:f>
      </x:c>
      <x:c r="N149" s="12">
        <x:f>IF(K149=0,"—",1/(K149*Параметры!$B$8))</x:f>
      </x:c>
    </x:row>
    <x:row r="150" spans="1:14">
      <x:c r="A150" s="1" t="s">
        <x:v>495</x:v>
      </x:c>
      <x:c r="B150" s="1" t="s">
        <x:v>496</x:v>
      </x:c>
      <x:c r="C150" s="1" t="s">
        <x:v>466</x:v>
      </x:c>
      <x:c r="D150" s="4" t="s">
        <x:v>21</x:v>
      </x:c>
      <x:c r="E150" s="1" t="s">
        <x:v>41</x:v>
      </x:c>
      <x:c r="F150" s="1" t="s">
        <x:v>42</x:v>
      </x:c>
      <x:c r="G150" s="1" t="s">
        <x:v>42</x:v>
      </x:c>
      <x:c r="H150" s="1" t="s">
        <x:v>497</x:v>
      </x:c>
      <x:c r="I150" s="6">
        <x:f>IFERROR(INDEX(Уровни!$B$2:$B$7,MATCH(D150,Уровни!$A$2:$A$7,0)),0)</x:f>
      </x:c>
      <x:c r="J150" s="9">
        <x:f>IF(I150=0,0,I150/SUMIFS($I$2:$I$174,$C$2:$C$174,C150))</x:f>
      </x:c>
      <x:c r="K150" s="10">
        <x:f>J150*IFERROR(INDEX(Категории!$C$2:$C$20,MATCH(C150,Категории!$A$2:$A$20,0)),0)*IF(AND(Параметры!$B$9="да",G150="да"),0,1)</x:f>
      </x:c>
      <x:c r="L150" s="11">
        <x:f>IF(K150=0,"—",1/K150)</x:f>
      </x:c>
      <x:c r="M150" s="11">
        <x:f>IF(K150=0,"—",1/(K150*Параметры!$B$3))</x:f>
      </x:c>
      <x:c r="N150" s="12">
        <x:f>IF(K150=0,"—",1/(K150*Параметры!$B$8))</x:f>
      </x:c>
    </x:row>
    <x:row r="151" spans="1:14">
      <x:c r="A151" s="1" t="s">
        <x:v>498</x:v>
      </x:c>
      <x:c r="B151" s="1" t="s">
        <x:v>499</x:v>
      </x:c>
      <x:c r="C151" s="1" t="s">
        <x:v>466</x:v>
      </x:c>
      <x:c r="D151" s="4" t="s">
        <x:v>21</x:v>
      </x:c>
      <x:c r="E151" s="1" t="s">
        <x:v>41</x:v>
      </x:c>
      <x:c r="F151" s="1" t="s">
        <x:v>42</x:v>
      </x:c>
      <x:c r="G151" s="1" t="s">
        <x:v>42</x:v>
      </x:c>
      <x:c r="H151" s="1" t="s">
        <x:v>500</x:v>
      </x:c>
      <x:c r="I151" s="6">
        <x:f>IFERROR(INDEX(Уровни!$B$2:$B$7,MATCH(D151,Уровни!$A$2:$A$7,0)),0)</x:f>
      </x:c>
      <x:c r="J151" s="9">
        <x:f>IF(I151=0,0,I151/SUMIFS($I$2:$I$174,$C$2:$C$174,C151))</x:f>
      </x:c>
      <x:c r="K151" s="10">
        <x:f>J151*IFERROR(INDEX(Категории!$C$2:$C$20,MATCH(C151,Категории!$A$2:$A$20,0)),0)*IF(AND(Параметры!$B$9="да",G151="да"),0,1)</x:f>
      </x:c>
      <x:c r="L151" s="11">
        <x:f>IF(K151=0,"—",1/K151)</x:f>
      </x:c>
      <x:c r="M151" s="11">
        <x:f>IF(K151=0,"—",1/(K151*Параметры!$B$3))</x:f>
      </x:c>
      <x:c r="N151" s="12">
        <x:f>IF(K151=0,"—",1/(K151*Параметры!$B$8))</x:f>
      </x:c>
    </x:row>
    <x:row r="152" spans="1:14">
      <x:c r="A152" s="1" t="s">
        <x:v>501</x:v>
      </x:c>
      <x:c r="B152" s="1" t="s">
        <x:v>502</x:v>
      </x:c>
      <x:c r="C152" s="1" t="s">
        <x:v>466</x:v>
      </x:c>
      <x:c r="D152" s="4" t="s">
        <x:v>21</x:v>
      </x:c>
      <x:c r="E152" s="1" t="s">
        <x:v>41</x:v>
      </x:c>
      <x:c r="F152" s="1" t="s">
        <x:v>64</x:v>
      </x:c>
      <x:c r="G152" s="1" t="s">
        <x:v>42</x:v>
      </x:c>
      <x:c r="H152" s="1" t="s">
        <x:v>503</x:v>
      </x:c>
      <x:c r="I152" s="6">
        <x:f>IFERROR(INDEX(Уровни!$B$2:$B$7,MATCH(D152,Уровни!$A$2:$A$7,0)),0)</x:f>
      </x:c>
      <x:c r="J152" s="9">
        <x:f>IF(I152=0,0,I152/SUMIFS($I$2:$I$174,$C$2:$C$174,C152))</x:f>
      </x:c>
      <x:c r="K152" s="10">
        <x:f>J152*IFERROR(INDEX(Категории!$C$2:$C$20,MATCH(C152,Категории!$A$2:$A$20,0)),0)*IF(AND(Параметры!$B$9="да",G152="да"),0,1)</x:f>
      </x:c>
      <x:c r="L152" s="11">
        <x:f>IF(K152=0,"—",1/K152)</x:f>
      </x:c>
      <x:c r="M152" s="11">
        <x:f>IF(K152=0,"—",1/(K152*Параметры!$B$3))</x:f>
      </x:c>
      <x:c r="N152" s="12">
        <x:f>IF(K152=0,"—",1/(K152*Параметры!$B$8))</x:f>
      </x:c>
    </x:row>
    <x:row r="153" spans="1:14">
      <x:c r="A153" s="1" t="s">
        <x:v>504</x:v>
      </x:c>
      <x:c r="B153" s="1" t="s">
        <x:v>505</x:v>
      </x:c>
      <x:c r="C153" s="1" t="s">
        <x:v>466</x:v>
      </x:c>
      <x:c r="D153" s="4" t="s">
        <x:v>21</x:v>
      </x:c>
      <x:c r="E153" s="1" t="s">
        <x:v>41</x:v>
      </x:c>
      <x:c r="F153" s="1" t="s">
        <x:v>42</x:v>
      </x:c>
      <x:c r="G153" s="1" t="s">
        <x:v>64</x:v>
      </x:c>
      <x:c r="H153" s="1" t="s">
        <x:v>506</x:v>
      </x:c>
      <x:c r="I153" s="6">
        <x:f>IFERROR(INDEX(Уровни!$B$2:$B$7,MATCH(D153,Уровни!$A$2:$A$7,0)),0)</x:f>
      </x:c>
      <x:c r="J153" s="9">
        <x:f>IF(I153=0,0,I153/SUMIFS($I$2:$I$174,$C$2:$C$174,C153))</x:f>
      </x:c>
      <x:c r="K153" s="10">
        <x:f>J153*IFERROR(INDEX(Категории!$C$2:$C$20,MATCH(C153,Категории!$A$2:$A$20,0)),0)*IF(AND(Параметры!$B$9="да",G153="да"),0,1)</x:f>
      </x:c>
      <x:c r="L153" s="11">
        <x:f>IF(K153=0,"—",1/K153)</x:f>
      </x:c>
      <x:c r="M153" s="11">
        <x:f>IF(K153=0,"—",1/(K153*Параметры!$B$3))</x:f>
      </x:c>
      <x:c r="N153" s="12">
        <x:f>IF(K153=0,"—",1/(K153*Параметры!$B$8))</x:f>
      </x:c>
    </x:row>
    <x:row r="154" spans="1:14">
      <x:c r="A154" s="1" t="s">
        <x:v>507</x:v>
      </x:c>
      <x:c r="B154" s="1" t="s">
        <x:v>508</x:v>
      </x:c>
      <x:c r="C154" s="1" t="s">
        <x:v>466</x:v>
      </x:c>
      <x:c r="D154" s="4" t="s">
        <x:v>21</x:v>
      </x:c>
      <x:c r="E154" s="1" t="s">
        <x:v>41</x:v>
      </x:c>
      <x:c r="F154" s="1" t="s">
        <x:v>42</x:v>
      </x:c>
      <x:c r="G154" s="1" t="s">
        <x:v>42</x:v>
      </x:c>
      <x:c r="H154" s="1" t="s">
        <x:v>509</x:v>
      </x:c>
      <x:c r="I154" s="6">
        <x:f>IFERROR(INDEX(Уровни!$B$2:$B$7,MATCH(D154,Уровни!$A$2:$A$7,0)),0)</x:f>
      </x:c>
      <x:c r="J154" s="9">
        <x:f>IF(I154=0,0,I154/SUMIFS($I$2:$I$174,$C$2:$C$174,C154))</x:f>
      </x:c>
      <x:c r="K154" s="10">
        <x:f>J154*IFERROR(INDEX(Категории!$C$2:$C$20,MATCH(C154,Категории!$A$2:$A$20,0)),0)*IF(AND(Параметры!$B$9="да",G154="да"),0,1)</x:f>
      </x:c>
      <x:c r="L154" s="11">
        <x:f>IF(K154=0,"—",1/K154)</x:f>
      </x:c>
      <x:c r="M154" s="11">
        <x:f>IF(K154=0,"—",1/(K154*Параметры!$B$3))</x:f>
      </x:c>
      <x:c r="N154" s="12">
        <x:f>IF(K154=0,"—",1/(K154*Параметры!$B$8))</x:f>
      </x:c>
    </x:row>
    <x:row r="155" spans="1:14">
      <x:c r="A155" s="1" t="s">
        <x:v>510</x:v>
      </x:c>
      <x:c r="B155" s="1" t="s">
        <x:v>511</x:v>
      </x:c>
      <x:c r="C155" s="1" t="s">
        <x:v>466</x:v>
      </x:c>
      <x:c r="D155" s="4" t="s">
        <x:v>21</x:v>
      </x:c>
      <x:c r="E155" s="1" t="s">
        <x:v>41</x:v>
      </x:c>
      <x:c r="F155" s="1" t="s">
        <x:v>42</x:v>
      </x:c>
      <x:c r="G155" s="1" t="s">
        <x:v>64</x:v>
      </x:c>
      <x:c r="H155" s="1" t="s">
        <x:v>512</x:v>
      </x:c>
      <x:c r="I155" s="6">
        <x:f>IFERROR(INDEX(Уровни!$B$2:$B$7,MATCH(D155,Уровни!$A$2:$A$7,0)),0)</x:f>
      </x:c>
      <x:c r="J155" s="9">
        <x:f>IF(I155=0,0,I155/SUMIFS($I$2:$I$174,$C$2:$C$174,C155))</x:f>
      </x:c>
      <x:c r="K155" s="10">
        <x:f>J155*IFERROR(INDEX(Категории!$C$2:$C$20,MATCH(C155,Категории!$A$2:$A$20,0)),0)*IF(AND(Параметры!$B$9="да",G155="да"),0,1)</x:f>
      </x:c>
      <x:c r="L155" s="11">
        <x:f>IF(K155=0,"—",1/K155)</x:f>
      </x:c>
      <x:c r="M155" s="11">
        <x:f>IF(K155=0,"—",1/(K155*Параметры!$B$3))</x:f>
      </x:c>
      <x:c r="N155" s="12">
        <x:f>IF(K155=0,"—",1/(K155*Параметры!$B$8))</x:f>
      </x:c>
    </x:row>
    <x:row r="156" spans="1:14">
      <x:c r="A156" s="1" t="s">
        <x:v>513</x:v>
      </x:c>
      <x:c r="B156" s="1" t="s">
        <x:v>514</x:v>
      </x:c>
      <x:c r="C156" s="1" t="s">
        <x:v>466</x:v>
      </x:c>
      <x:c r="D156" s="4" t="s">
        <x:v>21</x:v>
      </x:c>
      <x:c r="E156" s="1" t="s">
        <x:v>41</x:v>
      </x:c>
      <x:c r="F156" s="1" t="s">
        <x:v>42</x:v>
      </x:c>
      <x:c r="G156" s="1" t="s">
        <x:v>64</x:v>
      </x:c>
      <x:c r="H156" s="1" t="s">
        <x:v>515</x:v>
      </x:c>
      <x:c r="I156" s="6">
        <x:f>IFERROR(INDEX(Уровни!$B$2:$B$7,MATCH(D156,Уровни!$A$2:$A$7,0)),0)</x:f>
      </x:c>
      <x:c r="J156" s="9">
        <x:f>IF(I156=0,0,I156/SUMIFS($I$2:$I$174,$C$2:$C$174,C156))</x:f>
      </x:c>
      <x:c r="K156" s="10">
        <x:f>J156*IFERROR(INDEX(Категории!$C$2:$C$20,MATCH(C156,Категории!$A$2:$A$20,0)),0)*IF(AND(Параметры!$B$9="да",G156="да"),0,1)</x:f>
      </x:c>
      <x:c r="L156" s="11">
        <x:f>IF(K156=0,"—",1/K156)</x:f>
      </x:c>
      <x:c r="M156" s="11">
        <x:f>IF(K156=0,"—",1/(K156*Параметры!$B$3))</x:f>
      </x:c>
      <x:c r="N156" s="12">
        <x:f>IF(K156=0,"—",1/(K156*Параметры!$B$8))</x:f>
      </x:c>
    </x:row>
    <x:row r="157" spans="1:14">
      <x:c r="A157" s="1" t="s">
        <x:v>516</x:v>
      </x:c>
      <x:c r="B157" s="1" t="s">
        <x:v>517</x:v>
      </x:c>
      <x:c r="C157" s="1" t="s">
        <x:v>466</x:v>
      </x:c>
      <x:c r="D157" s="4" t="s">
        <x:v>21</x:v>
      </x:c>
      <x:c r="E157" s="1" t="s">
        <x:v>41</x:v>
      </x:c>
      <x:c r="F157" s="1" t="s">
        <x:v>42</x:v>
      </x:c>
      <x:c r="G157" s="1" t="s">
        <x:v>42</x:v>
      </x:c>
      <x:c r="H157" s="1" t="s">
        <x:v>518</x:v>
      </x:c>
      <x:c r="I157" s="6">
        <x:f>IFERROR(INDEX(Уровни!$B$2:$B$7,MATCH(D157,Уровни!$A$2:$A$7,0)),0)</x:f>
      </x:c>
      <x:c r="J157" s="9">
        <x:f>IF(I157=0,0,I157/SUMIFS($I$2:$I$174,$C$2:$C$174,C157))</x:f>
      </x:c>
      <x:c r="K157" s="10">
        <x:f>J157*IFERROR(INDEX(Категории!$C$2:$C$20,MATCH(C157,Категории!$A$2:$A$20,0)),0)*IF(AND(Параметры!$B$9="да",G157="да"),0,1)</x:f>
      </x:c>
      <x:c r="L157" s="11">
        <x:f>IF(K157=0,"—",1/K157)</x:f>
      </x:c>
      <x:c r="M157" s="11">
        <x:f>IF(K157=0,"—",1/(K157*Параметры!$B$3))</x:f>
      </x:c>
      <x:c r="N157" s="12">
        <x:f>IF(K157=0,"—",1/(K157*Параметры!$B$8))</x:f>
      </x:c>
    </x:row>
    <x:row r="158" spans="1:14">
      <x:c r="A158" s="1" t="s">
        <x:v>519</x:v>
      </x:c>
      <x:c r="B158" s="1" t="s">
        <x:v>520</x:v>
      </x:c>
      <x:c r="C158" s="1" t="s">
        <x:v>466</x:v>
      </x:c>
      <x:c r="D158" s="4" t="s">
        <x:v>21</x:v>
      </x:c>
      <x:c r="E158" s="1" t="s">
        <x:v>41</x:v>
      </x:c>
      <x:c r="F158" s="1" t="s">
        <x:v>42</x:v>
      </x:c>
      <x:c r="G158" s="1" t="s">
        <x:v>42</x:v>
      </x:c>
      <x:c r="H158" s="1" t="s">
        <x:v>521</x:v>
      </x:c>
      <x:c r="I158" s="6">
        <x:f>IFERROR(INDEX(Уровни!$B$2:$B$7,MATCH(D158,Уровни!$A$2:$A$7,0)),0)</x:f>
      </x:c>
      <x:c r="J158" s="9">
        <x:f>IF(I158=0,0,I158/SUMIFS($I$2:$I$174,$C$2:$C$174,C158))</x:f>
      </x:c>
      <x:c r="K158" s="10">
        <x:f>J158*IFERROR(INDEX(Категории!$C$2:$C$20,MATCH(C158,Категории!$A$2:$A$20,0)),0)*IF(AND(Параметры!$B$9="да",G158="да"),0,1)</x:f>
      </x:c>
      <x:c r="L158" s="11">
        <x:f>IF(K158=0,"—",1/K158)</x:f>
      </x:c>
      <x:c r="M158" s="11">
        <x:f>IF(K158=0,"—",1/(K158*Параметры!$B$3))</x:f>
      </x:c>
      <x:c r="N158" s="12">
        <x:f>IF(K158=0,"—",1/(K158*Параметры!$B$8))</x:f>
      </x:c>
    </x:row>
    <x:row r="159" spans="1:14">
      <x:c r="A159" s="1" t="s">
        <x:v>522</x:v>
      </x:c>
      <x:c r="B159" s="1" t="s">
        <x:v>523</x:v>
      </x:c>
      <x:c r="C159" s="1" t="s">
        <x:v>466</x:v>
      </x:c>
      <x:c r="D159" s="4" t="s">
        <x:v>21</x:v>
      </x:c>
      <x:c r="E159" s="1" t="s">
        <x:v>41</x:v>
      </x:c>
      <x:c r="F159" s="1" t="s">
        <x:v>42</x:v>
      </x:c>
      <x:c r="G159" s="1" t="s">
        <x:v>42</x:v>
      </x:c>
      <x:c r="H159" s="1" t="s">
        <x:v>524</x:v>
      </x:c>
      <x:c r="I159" s="6">
        <x:f>IFERROR(INDEX(Уровни!$B$2:$B$7,MATCH(D159,Уровни!$A$2:$A$7,0)),0)</x:f>
      </x:c>
      <x:c r="J159" s="9">
        <x:f>IF(I159=0,0,I159/SUMIFS($I$2:$I$174,$C$2:$C$174,C159))</x:f>
      </x:c>
      <x:c r="K159" s="10">
        <x:f>J159*IFERROR(INDEX(Категории!$C$2:$C$20,MATCH(C159,Категории!$A$2:$A$20,0)),0)*IF(AND(Параметры!$B$9="да",G159="да"),0,1)</x:f>
      </x:c>
      <x:c r="L159" s="11">
        <x:f>IF(K159=0,"—",1/K159)</x:f>
      </x:c>
      <x:c r="M159" s="11">
        <x:f>IF(K159=0,"—",1/(K159*Параметры!$B$3))</x:f>
      </x:c>
      <x:c r="N159" s="12">
        <x:f>IF(K159=0,"—",1/(K159*Параметры!$B$8))</x:f>
      </x:c>
    </x:row>
    <x:row r="160" spans="1:14">
      <x:c r="A160" s="1" t="s">
        <x:v>525</x:v>
      </x:c>
      <x:c r="B160" s="1" t="s">
        <x:v>526</x:v>
      </x:c>
      <x:c r="C160" s="1" t="s">
        <x:v>466</x:v>
      </x:c>
      <x:c r="D160" s="4" t="s">
        <x:v>22</x:v>
      </x:c>
      <x:c r="E160" s="1" t="s">
        <x:v>41</x:v>
      </x:c>
      <x:c r="F160" s="1" t="s">
        <x:v>42</x:v>
      </x:c>
      <x:c r="G160" s="1" t="s">
        <x:v>64</x:v>
      </x:c>
      <x:c r="H160" s="1" t="s">
        <x:v>527</x:v>
      </x:c>
      <x:c r="I160" s="6">
        <x:f>IFERROR(INDEX(Уровни!$B$2:$B$7,MATCH(D160,Уровни!$A$2:$A$7,0)),0)</x:f>
      </x:c>
      <x:c r="J160" s="9">
        <x:f>IF(I160=0,0,I160/SUMIFS($I$2:$I$174,$C$2:$C$174,C160))</x:f>
      </x:c>
      <x:c r="K160" s="10">
        <x:f>J160*IFERROR(INDEX(Категории!$C$2:$C$20,MATCH(C160,Категории!$A$2:$A$20,0)),0)*IF(AND(Параметры!$B$9="да",G160="да"),0,1)</x:f>
      </x:c>
      <x:c r="L160" s="11">
        <x:f>IF(K160=0,"—",1/K160)</x:f>
      </x:c>
      <x:c r="M160" s="11">
        <x:f>IF(K160=0,"—",1/(K160*Параметры!$B$3))</x:f>
      </x:c>
      <x:c r="N160" s="12">
        <x:f>IF(K160=0,"—",1/(K160*Параметры!$B$8))</x:f>
      </x:c>
    </x:row>
    <x:row r="161" spans="1:14">
      <x:c r="A161" s="1" t="s">
        <x:v>528</x:v>
      </x:c>
      <x:c r="B161" s="1" t="s">
        <x:v>529</x:v>
      </x:c>
      <x:c r="C161" s="1" t="s">
        <x:v>466</x:v>
      </x:c>
      <x:c r="D161" s="4" t="s">
        <x:v>22</x:v>
      </x:c>
      <x:c r="E161" s="1" t="s">
        <x:v>41</x:v>
      </x:c>
      <x:c r="F161" s="1" t="s">
        <x:v>42</x:v>
      </x:c>
      <x:c r="G161" s="1" t="s">
        <x:v>64</x:v>
      </x:c>
      <x:c r="H161" s="1" t="s">
        <x:v>530</x:v>
      </x:c>
      <x:c r="I161" s="6">
        <x:f>IFERROR(INDEX(Уровни!$B$2:$B$7,MATCH(D161,Уровни!$A$2:$A$7,0)),0)</x:f>
      </x:c>
      <x:c r="J161" s="9">
        <x:f>IF(I161=0,0,I161/SUMIFS($I$2:$I$174,$C$2:$C$174,C161))</x:f>
      </x:c>
      <x:c r="K161" s="10">
        <x:f>J161*IFERROR(INDEX(Категории!$C$2:$C$20,MATCH(C161,Категории!$A$2:$A$20,0)),0)*IF(AND(Параметры!$B$9="да",G161="да"),0,1)</x:f>
      </x:c>
      <x:c r="L161" s="11">
        <x:f>IF(K161=0,"—",1/K161)</x:f>
      </x:c>
      <x:c r="M161" s="11">
        <x:f>IF(K161=0,"—",1/(K161*Параметры!$B$3))</x:f>
      </x:c>
      <x:c r="N161" s="12">
        <x:f>IF(K161=0,"—",1/(K161*Параметры!$B$8))</x:f>
      </x:c>
    </x:row>
    <x:row r="162" spans="1:14">
      <x:c r="A162" s="1" t="s">
        <x:v>531</x:v>
      </x:c>
      <x:c r="B162" s="1" t="s">
        <x:v>532</x:v>
      </x:c>
      <x:c r="C162" s="1" t="s">
        <x:v>466</x:v>
      </x:c>
      <x:c r="D162" s="4" t="s">
        <x:v>22</x:v>
      </x:c>
      <x:c r="E162" s="1" t="s">
        <x:v>41</x:v>
      </x:c>
      <x:c r="F162" s="1" t="s">
        <x:v>42</x:v>
      </x:c>
      <x:c r="G162" s="1" t="s">
        <x:v>64</x:v>
      </x:c>
      <x:c r="H162" s="1" t="s">
        <x:v>533</x:v>
      </x:c>
      <x:c r="I162" s="6">
        <x:f>IFERROR(INDEX(Уровни!$B$2:$B$7,MATCH(D162,Уровни!$A$2:$A$7,0)),0)</x:f>
      </x:c>
      <x:c r="J162" s="9">
        <x:f>IF(I162=0,0,I162/SUMIFS($I$2:$I$174,$C$2:$C$174,C162))</x:f>
      </x:c>
      <x:c r="K162" s="10">
        <x:f>J162*IFERROR(INDEX(Категории!$C$2:$C$20,MATCH(C162,Категории!$A$2:$A$20,0)),0)*IF(AND(Параметры!$B$9="да",G162="да"),0,1)</x:f>
      </x:c>
      <x:c r="L162" s="11">
        <x:f>IF(K162=0,"—",1/K162)</x:f>
      </x:c>
      <x:c r="M162" s="11">
        <x:f>IF(K162=0,"—",1/(K162*Параметры!$B$3))</x:f>
      </x:c>
      <x:c r="N162" s="12">
        <x:f>IF(K162=0,"—",1/(K162*Параметры!$B$8))</x:f>
      </x:c>
    </x:row>
    <x:row r="163" spans="1:14">
      <x:c r="A163" s="1" t="s">
        <x:v>534</x:v>
      </x:c>
      <x:c r="B163" s="1" t="s">
        <x:v>535</x:v>
      </x:c>
      <x:c r="C163" s="1" t="s">
        <x:v>466</x:v>
      </x:c>
      <x:c r="D163" s="4" t="s">
        <x:v>22</x:v>
      </x:c>
      <x:c r="E163" s="1" t="s">
        <x:v>41</x:v>
      </x:c>
      <x:c r="F163" s="1" t="s">
        <x:v>42</x:v>
      </x:c>
      <x:c r="G163" s="1" t="s">
        <x:v>42</x:v>
      </x:c>
      <x:c r="H163" s="1" t="s">
        <x:v>536</x:v>
      </x:c>
      <x:c r="I163" s="6">
        <x:f>IFERROR(INDEX(Уровни!$B$2:$B$7,MATCH(D163,Уровни!$A$2:$A$7,0)),0)</x:f>
      </x:c>
      <x:c r="J163" s="9">
        <x:f>IF(I163=0,0,I163/SUMIFS($I$2:$I$174,$C$2:$C$174,C163))</x:f>
      </x:c>
      <x:c r="K163" s="10">
        <x:f>J163*IFERROR(INDEX(Категории!$C$2:$C$20,MATCH(C163,Категории!$A$2:$A$20,0)),0)*IF(AND(Параметры!$B$9="да",G163="да"),0,1)</x:f>
      </x:c>
      <x:c r="L163" s="11">
        <x:f>IF(K163=0,"—",1/K163)</x:f>
      </x:c>
      <x:c r="M163" s="11">
        <x:f>IF(K163=0,"—",1/(K163*Параметры!$B$3))</x:f>
      </x:c>
      <x:c r="N163" s="12">
        <x:f>IF(K163=0,"—",1/(K163*Параметры!$B$8))</x:f>
      </x:c>
    </x:row>
    <x:row r="164" spans="1:14">
      <x:c r="A164" s="1" t="s">
        <x:v>537</x:v>
      </x:c>
      <x:c r="B164" s="1" t="s">
        <x:v>538</x:v>
      </x:c>
      <x:c r="C164" s="1" t="s">
        <x:v>466</x:v>
      </x:c>
      <x:c r="D164" s="4" t="s">
        <x:v>22</x:v>
      </x:c>
      <x:c r="E164" s="1" t="s">
        <x:v>41</x:v>
      </x:c>
      <x:c r="F164" s="1" t="s">
        <x:v>42</x:v>
      </x:c>
      <x:c r="G164" s="1" t="s">
        <x:v>64</x:v>
      </x:c>
      <x:c r="H164" s="1" t="s">
        <x:v>539</x:v>
      </x:c>
      <x:c r="I164" s="6">
        <x:f>IFERROR(INDEX(Уровни!$B$2:$B$7,MATCH(D164,Уровни!$A$2:$A$7,0)),0)</x:f>
      </x:c>
      <x:c r="J164" s="9">
        <x:f>IF(I164=0,0,I164/SUMIFS($I$2:$I$174,$C$2:$C$174,C164))</x:f>
      </x:c>
      <x:c r="K164" s="10">
        <x:f>J164*IFERROR(INDEX(Категории!$C$2:$C$20,MATCH(C164,Категории!$A$2:$A$20,0)),0)*IF(AND(Параметры!$B$9="да",G164="да"),0,1)</x:f>
      </x:c>
      <x:c r="L164" s="11">
        <x:f>IF(K164=0,"—",1/K164)</x:f>
      </x:c>
      <x:c r="M164" s="11">
        <x:f>IF(K164=0,"—",1/(K164*Параметры!$B$3))</x:f>
      </x:c>
      <x:c r="N164" s="12">
        <x:f>IF(K164=0,"—",1/(K164*Параметры!$B$8))</x:f>
      </x:c>
    </x:row>
    <x:row r="165" spans="1:14">
      <x:c r="A165" s="1" t="s">
        <x:v>540</x:v>
      </x:c>
      <x:c r="B165" s="1" t="s">
        <x:v>541</x:v>
      </x:c>
      <x:c r="C165" s="1" t="s">
        <x:v>466</x:v>
      </x:c>
      <x:c r="D165" s="4" t="s">
        <x:v>22</x:v>
      </x:c>
      <x:c r="E165" s="1" t="s">
        <x:v>41</x:v>
      </x:c>
      <x:c r="F165" s="1" t="s">
        <x:v>42</x:v>
      </x:c>
      <x:c r="G165" s="1" t="s">
        <x:v>64</x:v>
      </x:c>
      <x:c r="H165" s="1" t="s">
        <x:v>542</x:v>
      </x:c>
      <x:c r="I165" s="6">
        <x:f>IFERROR(INDEX(Уровни!$B$2:$B$7,MATCH(D165,Уровни!$A$2:$A$7,0)),0)</x:f>
      </x:c>
      <x:c r="J165" s="9">
        <x:f>IF(I165=0,0,I165/SUMIFS($I$2:$I$174,$C$2:$C$174,C165))</x:f>
      </x:c>
      <x:c r="K165" s="10">
        <x:f>J165*IFERROR(INDEX(Категории!$C$2:$C$20,MATCH(C165,Категории!$A$2:$A$20,0)),0)*IF(AND(Параметры!$B$9="да",G165="да"),0,1)</x:f>
      </x:c>
      <x:c r="L165" s="11">
        <x:f>IF(K165=0,"—",1/K165)</x:f>
      </x:c>
      <x:c r="M165" s="11">
        <x:f>IF(K165=0,"—",1/(K165*Параметры!$B$3))</x:f>
      </x:c>
      <x:c r="N165" s="12">
        <x:f>IF(K165=0,"—",1/(K165*Параметры!$B$8))</x:f>
      </x:c>
    </x:row>
    <x:row r="166" spans="1:14">
      <x:c r="A166" s="1" t="s">
        <x:v>543</x:v>
      </x:c>
      <x:c r="B166" s="1" t="s">
        <x:v>544</x:v>
      </x:c>
      <x:c r="C166" s="1" t="s">
        <x:v>466</x:v>
      </x:c>
      <x:c r="D166" s="4" t="s">
        <x:v>22</x:v>
      </x:c>
      <x:c r="E166" s="1" t="s">
        <x:v>41</x:v>
      </x:c>
      <x:c r="F166" s="1" t="s">
        <x:v>42</x:v>
      </x:c>
      <x:c r="G166" s="1" t="s">
        <x:v>64</x:v>
      </x:c>
      <x:c r="H166" s="1" t="s">
        <x:v>545</x:v>
      </x:c>
      <x:c r="I166" s="6">
        <x:f>IFERROR(INDEX(Уровни!$B$2:$B$7,MATCH(D166,Уровни!$A$2:$A$7,0)),0)</x:f>
      </x:c>
      <x:c r="J166" s="9">
        <x:f>IF(I166=0,0,I166/SUMIFS($I$2:$I$174,$C$2:$C$174,C166))</x:f>
      </x:c>
      <x:c r="K166" s="10">
        <x:f>J166*IFERROR(INDEX(Категории!$C$2:$C$20,MATCH(C166,Категории!$A$2:$A$20,0)),0)*IF(AND(Параметры!$B$9="да",G166="да"),0,1)</x:f>
      </x:c>
      <x:c r="L166" s="11">
        <x:f>IF(K166=0,"—",1/K166)</x:f>
      </x:c>
      <x:c r="M166" s="11">
        <x:f>IF(K166=0,"—",1/(K166*Параметры!$B$3))</x:f>
      </x:c>
      <x:c r="N166" s="12">
        <x:f>IF(K166=0,"—",1/(K166*Параметры!$B$8))</x:f>
      </x:c>
    </x:row>
    <x:row r="167" spans="1:14">
      <x:c r="A167" s="1" t="s">
        <x:v>546</x:v>
      </x:c>
      <x:c r="B167" s="1" t="s">
        <x:v>547</x:v>
      </x:c>
      <x:c r="C167" s="1" t="s">
        <x:v>466</x:v>
      </x:c>
      <x:c r="D167" s="4" t="s">
        <x:v>23</x:v>
      </x:c>
      <x:c r="E167" s="1" t="s">
        <x:v>41</x:v>
      </x:c>
      <x:c r="F167" s="1" t="s">
        <x:v>42</x:v>
      </x:c>
      <x:c r="G167" s="1" t="s">
        <x:v>64</x:v>
      </x:c>
      <x:c r="H167" s="1" t="s">
        <x:v>548</x:v>
      </x:c>
      <x:c r="I167" s="6">
        <x:f>IFERROR(INDEX(Уровни!$B$2:$B$7,MATCH(D167,Уровни!$A$2:$A$7,0)),0)</x:f>
      </x:c>
      <x:c r="J167" s="9">
        <x:f>IF(I167=0,0,I167/SUMIFS($I$2:$I$174,$C$2:$C$174,C167))</x:f>
      </x:c>
      <x:c r="K167" s="10">
        <x:f>J167*IFERROR(INDEX(Категории!$C$2:$C$20,MATCH(C167,Категории!$A$2:$A$20,0)),0)*IF(AND(Параметры!$B$9="да",G167="да"),0,1)</x:f>
      </x:c>
      <x:c r="L167" s="11">
        <x:f>IF(K167=0,"—",1/K167)</x:f>
      </x:c>
      <x:c r="M167" s="11">
        <x:f>IF(K167=0,"—",1/(K167*Параметры!$B$3))</x:f>
      </x:c>
      <x:c r="N167" s="12">
        <x:f>IF(K167=0,"—",1/(K167*Параметры!$B$8))</x:f>
      </x:c>
    </x:row>
    <x:row r="168" spans="1:14">
      <x:c r="A168" s="1" t="s">
        <x:v>549</x:v>
      </x:c>
      <x:c r="B168" s="1" t="s">
        <x:v>550</x:v>
      </x:c>
      <x:c r="C168" s="1" t="s">
        <x:v>466</x:v>
      </x:c>
      <x:c r="D168" s="4" t="s">
        <x:v>23</x:v>
      </x:c>
      <x:c r="E168" s="1" t="s">
        <x:v>41</x:v>
      </x:c>
      <x:c r="F168" s="1" t="s">
        <x:v>42</x:v>
      </x:c>
      <x:c r="G168" s="1" t="s">
        <x:v>64</x:v>
      </x:c>
      <x:c r="H168" s="1" t="s">
        <x:v>551</x:v>
      </x:c>
      <x:c r="I168" s="6">
        <x:f>IFERROR(INDEX(Уровни!$B$2:$B$7,MATCH(D168,Уровни!$A$2:$A$7,0)),0)</x:f>
      </x:c>
      <x:c r="J168" s="9">
        <x:f>IF(I168=0,0,I168/SUMIFS($I$2:$I$174,$C$2:$C$174,C168))</x:f>
      </x:c>
      <x:c r="K168" s="10">
        <x:f>J168*IFERROR(INDEX(Категории!$C$2:$C$20,MATCH(C168,Категории!$A$2:$A$20,0)),0)*IF(AND(Параметры!$B$9="да",G168="да"),0,1)</x:f>
      </x:c>
      <x:c r="L168" s="11">
        <x:f>IF(K168=0,"—",1/K168)</x:f>
      </x:c>
      <x:c r="M168" s="11">
        <x:f>IF(K168=0,"—",1/(K168*Параметры!$B$3))</x:f>
      </x:c>
      <x:c r="N168" s="12">
        <x:f>IF(K168=0,"—",1/(K168*Параметры!$B$8))</x:f>
      </x:c>
    </x:row>
    <x:row r="169" spans="1:14">
      <x:c r="A169" s="1" t="s">
        <x:v>552</x:v>
      </x:c>
      <x:c r="B169" s="1" t="s">
        <x:v>553</x:v>
      </x:c>
      <x:c r="C169" s="1" t="s">
        <x:v>466</x:v>
      </x:c>
      <x:c r="D169" s="4" t="s">
        <x:v>23</x:v>
      </x:c>
      <x:c r="E169" s="1" t="s">
        <x:v>41</x:v>
      </x:c>
      <x:c r="F169" s="1" t="s">
        <x:v>42</x:v>
      </x:c>
      <x:c r="G169" s="1" t="s">
        <x:v>42</x:v>
      </x:c>
      <x:c r="H169" s="1" t="s">
        <x:v>554</x:v>
      </x:c>
      <x:c r="I169" s="6">
        <x:f>IFERROR(INDEX(Уровни!$B$2:$B$7,MATCH(D169,Уровни!$A$2:$A$7,0)),0)</x:f>
      </x:c>
      <x:c r="J169" s="9">
        <x:f>IF(I169=0,0,I169/SUMIFS($I$2:$I$174,$C$2:$C$174,C169))</x:f>
      </x:c>
      <x:c r="K169" s="10">
        <x:f>J169*IFERROR(INDEX(Категории!$C$2:$C$20,MATCH(C169,Категории!$A$2:$A$20,0)),0)*IF(AND(Параметры!$B$9="да",G169="да"),0,1)</x:f>
      </x:c>
      <x:c r="L169" s="11">
        <x:f>IF(K169=0,"—",1/K169)</x:f>
      </x:c>
      <x:c r="M169" s="11">
        <x:f>IF(K169=0,"—",1/(K169*Параметры!$B$3))</x:f>
      </x:c>
      <x:c r="N169" s="12">
        <x:f>IF(K169=0,"—",1/(K169*Параметры!$B$8))</x:f>
      </x:c>
    </x:row>
    <x:row r="170" spans="1:14">
      <x:c r="A170" s="1" t="s">
        <x:v>555</x:v>
      </x:c>
      <x:c r="B170" s="1" t="s">
        <x:v>556</x:v>
      </x:c>
      <x:c r="C170" s="1" t="s">
        <x:v>466</x:v>
      </x:c>
      <x:c r="D170" s="4" t="s">
        <x:v>23</x:v>
      </x:c>
      <x:c r="E170" s="1" t="s">
        <x:v>41</x:v>
      </x:c>
      <x:c r="F170" s="1" t="s">
        <x:v>64</x:v>
      </x:c>
      <x:c r="G170" s="1" t="s">
        <x:v>64</x:v>
      </x:c>
      <x:c r="H170" s="1" t="s">
        <x:v>557</x:v>
      </x:c>
      <x:c r="I170" s="6">
        <x:f>IFERROR(INDEX(Уровни!$B$2:$B$7,MATCH(D170,Уровни!$A$2:$A$7,0)),0)</x:f>
      </x:c>
      <x:c r="J170" s="9">
        <x:f>IF(I170=0,0,I170/SUMIFS($I$2:$I$174,$C$2:$C$174,C170))</x:f>
      </x:c>
      <x:c r="K170" s="10">
        <x:f>J170*IFERROR(INDEX(Категории!$C$2:$C$20,MATCH(C170,Категории!$A$2:$A$20,0)),0)*IF(AND(Параметры!$B$9="да",G170="да"),0,1)</x:f>
      </x:c>
      <x:c r="L170" s="11">
        <x:f>IF(K170=0,"—",1/K170)</x:f>
      </x:c>
      <x:c r="M170" s="11">
        <x:f>IF(K170=0,"—",1/(K170*Параметры!$B$3))</x:f>
      </x:c>
      <x:c r="N170" s="12">
        <x:f>IF(K170=0,"—",1/(K170*Параметры!$B$8))</x:f>
      </x:c>
    </x:row>
    <x:row r="171" spans="1:14">
      <x:c r="A171" s="1" t="s">
        <x:v>558</x:v>
      </x:c>
      <x:c r="B171" s="1" t="s">
        <x:v>559</x:v>
      </x:c>
      <x:c r="C171" s="1" t="s">
        <x:v>466</x:v>
      </x:c>
      <x:c r="D171" s="4" t="s">
        <x:v>23</x:v>
      </x:c>
      <x:c r="E171" s="1" t="s">
        <x:v>71</x:v>
      </x:c>
      <x:c r="F171" s="1" t="s">
        <x:v>64</x:v>
      </x:c>
      <x:c r="G171" s="1" t="s">
        <x:v>42</x:v>
      </x:c>
      <x:c r="H171" s="1" t="s">
        <x:v>560</x:v>
      </x:c>
      <x:c r="I171" s="6">
        <x:f>IFERROR(INDEX(Уровни!$B$2:$B$7,MATCH(D171,Уровни!$A$2:$A$7,0)),0)</x:f>
      </x:c>
      <x:c r="J171" s="9">
        <x:f>IF(I171=0,0,I171/SUMIFS($I$2:$I$174,$C$2:$C$174,C171))</x:f>
      </x:c>
      <x:c r="K171" s="10">
        <x:f>J171*IFERROR(INDEX(Категории!$C$2:$C$20,MATCH(C171,Категории!$A$2:$A$20,0)),0)*IF(AND(Параметры!$B$9="да",G171="да"),0,1)</x:f>
      </x:c>
      <x:c r="L171" s="11">
        <x:f>IF(K171=0,"—",1/K171)</x:f>
      </x:c>
      <x:c r="M171" s="11">
        <x:f>IF(K171=0,"—",1/(K171*Параметры!$B$3))</x:f>
      </x:c>
      <x:c r="N171" s="12">
        <x:f>IF(K171=0,"—",1/(K171*Параметры!$B$8))</x:f>
      </x:c>
    </x:row>
    <x:row r="172" spans="1:14">
      <x:c r="A172" s="1" t="s">
        <x:v>561</x:v>
      </x:c>
      <x:c r="B172" s="1" t="s">
        <x:v>562</x:v>
      </x:c>
      <x:c r="C172" s="1" t="s">
        <x:v>466</x:v>
      </x:c>
      <x:c r="D172" s="4" t="s">
        <x:v>23</x:v>
      </x:c>
      <x:c r="E172" s="1" t="s">
        <x:v>71</x:v>
      </x:c>
      <x:c r="F172" s="1" t="s">
        <x:v>64</x:v>
      </x:c>
      <x:c r="G172" s="1" t="s">
        <x:v>42</x:v>
      </x:c>
      <x:c r="H172" s="1" t="s">
        <x:v>563</x:v>
      </x:c>
      <x:c r="I172" s="6">
        <x:f>IFERROR(INDEX(Уровни!$B$2:$B$7,MATCH(D172,Уровни!$A$2:$A$7,0)),0)</x:f>
      </x:c>
      <x:c r="J172" s="9">
        <x:f>IF(I172=0,0,I172/SUMIFS($I$2:$I$174,$C$2:$C$174,C172))</x:f>
      </x:c>
      <x:c r="K172" s="10">
        <x:f>J172*IFERROR(INDEX(Категории!$C$2:$C$20,MATCH(C172,Категории!$A$2:$A$20,0)),0)*IF(AND(Параметры!$B$9="да",G172="да"),0,1)</x:f>
      </x:c>
      <x:c r="L172" s="11">
        <x:f>IF(K172=0,"—",1/K172)</x:f>
      </x:c>
      <x:c r="M172" s="11">
        <x:f>IF(K172=0,"—",1/(K172*Параметры!$B$3))</x:f>
      </x:c>
      <x:c r="N172" s="12">
        <x:f>IF(K172=0,"—",1/(K172*Параметры!$B$8))</x:f>
      </x:c>
    </x:row>
    <x:row r="173" spans="1:14">
      <x:c r="A173" s="1" t="s">
        <x:v>564</x:v>
      </x:c>
      <x:c r="B173" s="1" t="s">
        <x:v>565</x:v>
      </x:c>
      <x:c r="C173" s="1" t="s">
        <x:v>466</x:v>
      </x:c>
      <x:c r="D173" s="4" t="s">
        <x:v>23</x:v>
      </x:c>
      <x:c r="E173" s="1" t="s">
        <x:v>71</x:v>
      </x:c>
      <x:c r="F173" s="1" t="s">
        <x:v>64</x:v>
      </x:c>
      <x:c r="G173" s="1" t="s">
        <x:v>42</x:v>
      </x:c>
      <x:c r="H173" s="1" t="s">
        <x:v>566</x:v>
      </x:c>
      <x:c r="I173" s="6">
        <x:f>IFERROR(INDEX(Уровни!$B$2:$B$7,MATCH(D173,Уровни!$A$2:$A$7,0)),0)</x:f>
      </x:c>
      <x:c r="J173" s="9">
        <x:f>IF(I173=0,0,I173/SUMIFS($I$2:$I$174,$C$2:$C$174,C173))</x:f>
      </x:c>
      <x:c r="K173" s="10">
        <x:f>J173*IFERROR(INDEX(Категории!$C$2:$C$20,MATCH(C173,Категории!$A$2:$A$20,0)),0)*IF(AND(Параметры!$B$9="да",G173="да"),0,1)</x:f>
      </x:c>
      <x:c r="L173" s="11">
        <x:f>IF(K173=0,"—",1/K173)</x:f>
      </x:c>
      <x:c r="M173" s="11">
        <x:f>IF(K173=0,"—",1/(K173*Параметры!$B$3))</x:f>
      </x:c>
      <x:c r="N173" s="12">
        <x:f>IF(K173=0,"—",1/(K173*Параметры!$B$8))</x:f>
      </x:c>
    </x:row>
    <x:row r="174" spans="1:14">
      <x:c r="A174" s="1" t="s">
        <x:v>567</x:v>
      </x:c>
      <x:c r="B174" s="1" t="s">
        <x:v>568</x:v>
      </x:c>
      <x:c r="C174" s="1" t="s">
        <x:v>466</x:v>
      </x:c>
      <x:c r="D174" s="4" t="s">
        <x:v>23</x:v>
      </x:c>
      <x:c r="E174" s="1" t="s">
        <x:v>71</x:v>
      </x:c>
      <x:c r="F174" s="1" t="s">
        <x:v>64</x:v>
      </x:c>
      <x:c r="G174" s="1" t="s">
        <x:v>64</x:v>
      </x:c>
      <x:c r="H174" s="1" t="s">
        <x:v>569</x:v>
      </x:c>
      <x:c r="I174" s="6">
        <x:f>IFERROR(INDEX(Уровни!$B$2:$B$7,MATCH(D174,Уровни!$A$2:$A$7,0)),0)</x:f>
      </x:c>
      <x:c r="J174" s="9">
        <x:f>IF(I174=0,0,I174/SUMIFS($I$2:$I$174,$C$2:$C$174,C174))</x:f>
      </x:c>
      <x:c r="K174" s="10">
        <x:f>J174*IFERROR(INDEX(Категории!$C$2:$C$20,MATCH(C174,Категории!$A$2:$A$20,0)),0)*IF(AND(Параметры!$B$9="да",G174="да"),0,1)</x:f>
      </x:c>
      <x:c r="L174" s="11">
        <x:f>IF(K174=0,"—",1/K174)</x:f>
      </x:c>
      <x:c r="M174" s="11">
        <x:f>IF(K174=0,"—",1/(K174*Параметры!$B$3))</x:f>
      </x:c>
      <x:c r="N174" s="12">
        <x:f>IF(K174=0,"—",1/(K174*Параметры!$B$8))</x:f>
      </x:c>
    </x:row>
  </x:sheetData>
  <x:autoFilter ref="A1:N174"/>
  <x:dataValidations count="1">
    <x:dataValidation type="list" errorStyle="stop" operator="between" allowBlank="1" showDropDown="0" showInputMessage="1" showErrorMessage="1" errorTitle="" error="" promptTitle="" prompt="" sqref="D2:D174">
      <x:formula1>=Уровни!$A$2:$A$7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"/>
  <x:sheetViews>
    <x:sheetView workbookViewId="0">
      <x:pane xSplit="0" ySplit="1" topLeftCell="A2" activePane="bottomLeft" state="frozenSplit"/>
    </x:sheetView>
  </x:sheetViews>
  <x:sheetFormatPr defaultRowHeight="15"/>
  <x:cols>
    <x:col min="3" max="16384" width="9.140625" style="1" customWidth="1"/>
    <x:col min="1" max="1" width="18.710625" style="1" customWidth="1"/>
    <x:col min="2" max="2" width="8.710625" style="1" customWidth="1"/>
  </x:cols>
  <x:sheetData>
    <x:row r="1" spans="1:2" ht="42" customHeight="1">
      <x:c r="A1" s="8" t="s">
        <x:v>17</x:v>
      </x:c>
      <x:c r="B1" s="8" t="s">
        <x:v>18</x:v>
      </x:c>
    </x:row>
    <x:row r="2" spans="1:2">
      <x:c r="A2" s="1" t="s">
        <x:v>19</x:v>
      </x:c>
      <x:c r="B2" s="4">
        <x:v>10</x:v>
      </x:c>
    </x:row>
    <x:row r="3" spans="1:2">
      <x:c r="A3" s="1" t="s">
        <x:v>20</x:v>
      </x:c>
      <x:c r="B3" s="4">
        <x:v>5</x:v>
      </x:c>
    </x:row>
    <x:row r="4" spans="1:2">
      <x:c r="A4" s="1" t="s">
        <x:v>21</x:v>
      </x:c>
      <x:c r="B4" s="4">
        <x:v>2</x:v>
      </x:c>
    </x:row>
    <x:row r="5" spans="1:2">
      <x:c r="A5" s="1" t="s">
        <x:v>22</x:v>
      </x:c>
      <x:c r="B5" s="4">
        <x:v>0.5</x:v>
      </x:c>
    </x:row>
    <x:row r="6" spans="1:2">
      <x:c r="A6" s="1" t="s">
        <x:v>23</x:v>
      </x:c>
      <x:c r="B6" s="4">
        <x:v>0.1</x:v>
      </x:c>
    </x:row>
    <x:row r="7" spans="1:2">
      <x:c r="A7" s="1" t="s">
        <x:v>24</x:v>
      </x:c>
      <x:c r="B7" s="1">
        <x:v>0</x:v>
      </x:c>
    </x:row>
    <x:row r="9" spans="1:2">
      <x:c r="A9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0"/>
  <x:sheetViews>
    <x:sheetView workbookViewId="0">
      <x:pane xSplit="0" ySplit="1" topLeftCell="A2" activePane="bottomLeft" state="frozenSplit"/>
    </x:sheetView>
  </x:sheetViews>
  <x:sheetFormatPr defaultRowHeight="15"/>
  <x:cols>
    <x:col min="7" max="16384" width="9.140625" style="1" customWidth="1"/>
    <x:col min="1" max="1" width="26.710625" style="1" customWidth="1"/>
    <x:col min="2" max="3" width="30.710625" style="1" customWidth="1"/>
    <x:col min="4" max="4" width="28.710625" style="1" customWidth="1"/>
    <x:col min="5" max="5" width="14.710625" style="1" customWidth="1"/>
    <x:col min="6" max="6" width="34.710625" style="1" customWidth="1"/>
  </x:cols>
  <x:sheetData>
    <x:row r="1" spans="1:6" ht="42" customHeight="1">
      <x:c r="A1" s="8" t="s">
        <x:v>26</x:v>
      </x:c>
      <x:c r="B1" s="8" t="s">
        <x:v>27</x:v>
      </x:c>
      <x:c r="C1" s="8" t="s">
        <x:v>32</x:v>
      </x:c>
      <x:c r="D1" s="8" t="s">
        <x:v>579</x:v>
      </x:c>
      <x:c r="E1" s="8" t="s">
        <x:v>580</x:v>
      </x:c>
      <x:c r="F1" s="8" t="s">
        <x:v>581</x:v>
      </x:c>
    </x:row>
    <x:row r="2" spans="1:6">
      <x:c r="A2" s="1" t="s">
        <x:v>582</x:v>
      </x:c>
      <x:c r="B2" s="1" t="s">
        <x:v>583</x:v>
      </x:c>
      <x:c r="C2" s="1" t="s">
        <x:v>584</x:v>
      </x:c>
      <x:c r="D2" s="1" t="s">
        <x:v>164</x:v>
      </x:c>
      <x:c r="E2" s="1" t="s">
        <x:v>20</x:v>
      </x:c>
      <x:c r="F2" s="1" t="s">
        <x:v>585</x:v>
      </x:c>
    </x:row>
    <x:row r="3" spans="1:6">
      <x:c r="A3" s="1" t="s">
        <x:v>586</x:v>
      </x:c>
      <x:c r="B3" s="1" t="s">
        <x:v>587</x:v>
      </x:c>
      <x:c r="C3" s="1" t="s">
        <x:v>588</x:v>
      </x:c>
      <x:c r="D3" s="1" t="s">
        <x:v>164</x:v>
      </x:c>
      <x:c r="E3" s="1" t="s">
        <x:v>21</x:v>
      </x:c>
      <x:c r="F3" s="1" t="s">
        <x:v>585</x:v>
      </x:c>
    </x:row>
    <x:row r="4" spans="1:6">
      <x:c r="A4" s="1" t="s">
        <x:v>589</x:v>
      </x:c>
      <x:c r="B4" s="1" t="s">
        <x:v>590</x:v>
      </x:c>
      <x:c r="C4" s="1" t="s">
        <x:v>591</x:v>
      </x:c>
      <x:c r="D4" s="1" t="s">
        <x:v>164</x:v>
      </x:c>
      <x:c r="E4" s="1" t="s">
        <x:v>21</x:v>
      </x:c>
      <x:c r="F4" s="1" t="s">
        <x:v>585</x:v>
      </x:c>
    </x:row>
    <x:row r="5" spans="1:6">
      <x:c r="A5" s="1" t="s">
        <x:v>592</x:v>
      </x:c>
      <x:c r="B5" s="1" t="s">
        <x:v>593</x:v>
      </x:c>
      <x:c r="C5" s="1" t="s">
        <x:v>594</x:v>
      </x:c>
      <x:c r="D5" s="1" t="s">
        <x:v>40</x:v>
      </x:c>
      <x:c r="E5" s="1" t="s">
        <x:v>21</x:v>
      </x:c>
      <x:c r="F5" s="1" t="s">
        <x:v>585</x:v>
      </x:c>
    </x:row>
    <x:row r="6" spans="1:6">
      <x:c r="A6" s="1" t="s">
        <x:v>595</x:v>
      </x:c>
      <x:c r="B6" s="1" t="s">
        <x:v>596</x:v>
      </x:c>
      <x:c r="C6" s="1" t="s">
        <x:v>597</x:v>
      </x:c>
      <x:c r="D6" s="1" t="s">
        <x:v>40</x:v>
      </x:c>
      <x:c r="E6" s="1" t="s">
        <x:v>20</x:v>
      </x:c>
      <x:c r="F6" s="1" t="s">
        <x:v>598</x:v>
      </x:c>
    </x:row>
    <x:row r="7" spans="1:6">
      <x:c r="A7" s="1" t="s">
        <x:v>599</x:v>
      </x:c>
      <x:c r="B7" s="1" t="s">
        <x:v>600</x:v>
      </x:c>
      <x:c r="C7" s="1" t="s">
        <x:v>601</x:v>
      </x:c>
      <x:c r="D7" s="1" t="s">
        <x:v>130</x:v>
      </x:c>
      <x:c r="E7" s="1" t="s">
        <x:v>22</x:v>
      </x:c>
      <x:c r="F7" s="1" t="s">
        <x:v>598</x:v>
      </x:c>
    </x:row>
    <x:row r="8" spans="1:6">
      <x:c r="A8" s="1" t="s">
        <x:v>602</x:v>
      </x:c>
      <x:c r="B8" s="1" t="s">
        <x:v>603</x:v>
      </x:c>
      <x:c r="C8" s="1" t="s">
        <x:v>604</x:v>
      </x:c>
      <x:c r="D8" s="1" t="s">
        <x:v>289</x:v>
      </x:c>
      <x:c r="E8" s="1" t="s">
        <x:v>21</x:v>
      </x:c>
      <x:c r="F8" s="1" t="s">
        <x:v>605</x:v>
      </x:c>
    </x:row>
    <x:row r="9" spans="1:6">
      <x:c r="A9" s="1" t="s">
        <x:v>606</x:v>
      </x:c>
      <x:c r="B9" s="1" t="s">
        <x:v>607</x:v>
      </x:c>
      <x:c r="C9" s="1" t="s">
        <x:v>608</x:v>
      </x:c>
      <x:c r="D9" s="1" t="s">
        <x:v>102</x:v>
      </x:c>
      <x:c r="E9" s="1" t="s">
        <x:v>21</x:v>
      </x:c>
      <x:c r="F9" s="1" t="s">
        <x:v>609</x:v>
      </x:c>
    </x:row>
    <x:row r="10" spans="1:6">
      <x:c r="A10" s="1" t="s">
        <x:v>610</x:v>
      </x:c>
      <x:c r="B10" s="1" t="s">
        <x:v>611</x:v>
      </x:c>
      <x:c r="C10" s="1" t="s">
        <x:v>612</x:v>
      </x:c>
      <x:c r="D10" s="1" t="s">
        <x:v>210</x:v>
      </x:c>
      <x:c r="E10" s="1" t="s">
        <x:v>21</x:v>
      </x:c>
      <x:c r="F10" s="1" t="s">
        <x:v>613</x:v>
      </x:c>
    </x:row>
    <x:row r="11" spans="1:6">
      <x:c r="A11" s="1" t="s">
        <x:v>614</x:v>
      </x:c>
      <x:c r="B11" s="1" t="s">
        <x:v>615</x:v>
      </x:c>
      <x:c r="C11" s="1" t="s">
        <x:v>616</x:v>
      </x:c>
      <x:c r="D11" s="1" t="s">
        <x:v>102</x:v>
      </x:c>
      <x:c r="E11" s="1" t="s">
        <x:v>20</x:v>
      </x:c>
      <x:c r="F11" s="1" t="s">
        <x:v>617</x:v>
      </x:c>
    </x:row>
    <x:row r="12" spans="1:6">
      <x:c r="A12" s="1" t="s">
        <x:v>618</x:v>
      </x:c>
      <x:c r="B12" s="1" t="s">
        <x:v>619</x:v>
      </x:c>
      <x:c r="C12" s="1" t="s">
        <x:v>620</x:v>
      </x:c>
      <x:c r="D12" s="1" t="s">
        <x:v>102</x:v>
      </x:c>
      <x:c r="E12" s="1" t="s">
        <x:v>20</x:v>
      </x:c>
      <x:c r="F12" s="1" t="s">
        <x:v>617</x:v>
      </x:c>
    </x:row>
    <x:row r="13" spans="1:6">
      <x:c r="A13" s="1" t="s">
        <x:v>621</x:v>
      </x:c>
      <x:c r="B13" s="1" t="s">
        <x:v>622</x:v>
      </x:c>
      <x:c r="C13" s="1" t="s">
        <x:v>623</x:v>
      </x:c>
      <x:c r="D13" s="1" t="s">
        <x:v>102</x:v>
      </x:c>
      <x:c r="E13" s="1" t="s">
        <x:v>20</x:v>
      </x:c>
      <x:c r="F13" s="1" t="s">
        <x:v>609</x:v>
      </x:c>
    </x:row>
    <x:row r="14" spans="1:6">
      <x:c r="A14" s="1" t="s">
        <x:v>624</x:v>
      </x:c>
      <x:c r="B14" s="1" t="s">
        <x:v>625</x:v>
      </x:c>
      <x:c r="C14" s="1" t="s">
        <x:v>626</x:v>
      </x:c>
      <x:c r="D14" s="1" t="s">
        <x:v>102</x:v>
      </x:c>
      <x:c r="E14" s="1" t="s">
        <x:v>20</x:v>
      </x:c>
      <x:c r="F14" s="1" t="s">
        <x:v>609</x:v>
      </x:c>
    </x:row>
    <x:row r="15" spans="1:6">
      <x:c r="A15" s="1" t="s">
        <x:v>627</x:v>
      </x:c>
      <x:c r="B15" s="1" t="s">
        <x:v>628</x:v>
      </x:c>
      <x:c r="C15" s="1" t="s">
        <x:v>629</x:v>
      </x:c>
      <x:c r="D15" s="1" t="s">
        <x:v>164</x:v>
      </x:c>
      <x:c r="E15" s="1" t="s">
        <x:v>21</x:v>
      </x:c>
      <x:c r="F15" s="1" t="s">
        <x:v>630</x:v>
      </x:c>
    </x:row>
    <x:row r="16" spans="1:6">
      <x:c r="A16" s="1" t="s">
        <x:v>631</x:v>
      </x:c>
      <x:c r="B16" s="1" t="s">
        <x:v>632</x:v>
      </x:c>
      <x:c r="C16" s="1" t="s">
        <x:v>633</x:v>
      </x:c>
      <x:c r="D16" s="1" t="s">
        <x:v>40</x:v>
      </x:c>
      <x:c r="E16" s="1" t="s">
        <x:v>21</x:v>
      </x:c>
      <x:c r="F16" s="1" t="s">
        <x:v>634</x:v>
      </x:c>
    </x:row>
    <x:row r="17" spans="1:6">
      <x:c r="A17" s="1" t="s">
        <x:v>635</x:v>
      </x:c>
      <x:c r="B17" s="1" t="s">
        <x:v>636</x:v>
      </x:c>
      <x:c r="C17" s="1" t="s">
        <x:v>637</x:v>
      </x:c>
      <x:c r="D17" s="1" t="s">
        <x:v>338</x:v>
      </x:c>
      <x:c r="E17" s="1" t="s">
        <x:v>21</x:v>
      </x:c>
      <x:c r="F17" s="1" t="s">
        <x:v>638</x:v>
      </x:c>
    </x:row>
    <x:row r="18" spans="1:6">
      <x:c r="A18" s="1" t="s">
        <x:v>639</x:v>
      </x:c>
      <x:c r="B18" s="1" t="s">
        <x:v>640</x:v>
      </x:c>
      <x:c r="C18" s="1" t="s">
        <x:v>641</x:v>
      </x:c>
      <x:c r="D18" s="1" t="s">
        <x:v>164</x:v>
      </x:c>
      <x:c r="E18" s="1" t="s">
        <x:v>20</x:v>
      </x:c>
      <x:c r="F18" s="1" t="s">
        <x:v>642</x:v>
      </x:c>
    </x:row>
    <x:row r="20" spans="1:6">
      <x:c r="A20" s="1" t="s">
        <x:v>643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4"/>
  <x:sheetViews>
    <x:sheetView workbookViewId="0">
      <x:pane xSplit="0" ySplit="1" topLeftCell="A2" activePane="bottomLeft" state="frozenSplit"/>
    </x:sheetView>
  </x:sheetViews>
  <x:sheetFormatPr defaultRowHeight="15"/>
  <x:cols>
    <x:col min="4" max="16384" width="9.140625" style="1" customWidth="1"/>
    <x:col min="1" max="1" width="46.710625" style="1" customWidth="1"/>
    <x:col min="2" max="3" width="44.710625" style="1" customWidth="1"/>
  </x:cols>
  <x:sheetData>
    <x:row r="1" spans="1:3" ht="42" customHeight="1">
      <x:c r="A1" s="8" t="s">
        <x:v>26</x:v>
      </x:c>
      <x:c r="B1" s="8" t="s">
        <x:v>27</x:v>
      </x:c>
      <x:c r="C1" s="8" t="s">
        <x:v>644</x:v>
      </x:c>
    </x:row>
    <x:row r="2" spans="1:3">
      <x:c r="A2" s="1" t="s">
        <x:v>645</x:v>
      </x:c>
      <x:c r="B2" s="1" t="s">
        <x:v>646</x:v>
      </x:c>
      <x:c r="C2" s="1" t="s">
        <x:v>8</x:v>
      </x:c>
    </x:row>
    <x:row r="3" spans="1:3">
      <x:c r="A3" s="1" t="s">
        <x:v>647</x:v>
      </x:c>
      <x:c r="B3" s="1" t="s">
        <x:v>648</x:v>
      </x:c>
      <x:c r="C3" s="1" t="s">
        <x:v>8</x:v>
      </x:c>
    </x:row>
    <x:row r="4" spans="1:3">
      <x:c r="A4" s="1" t="s">
        <x:v>649</x:v>
      </x:c>
      <x:c r="B4" s="1" t="s">
        <x:v>650</x:v>
      </x:c>
      <x:c r="C4" s="1" t="s">
        <x:v>651</x:v>
      </x:c>
    </x:row>
    <x:row r="5" spans="1:3">
      <x:c r="A5" s="1" t="s">
        <x:v>652</x:v>
      </x:c>
      <x:c r="B5" s="1" t="s">
        <x:v>653</x:v>
      </x:c>
      <x:c r="C5" s="1" t="s">
        <x:v>654</x:v>
      </x:c>
    </x:row>
    <x:row r="6" spans="1:3">
      <x:c r="A6" s="1" t="s">
        <x:v>655</x:v>
      </x:c>
      <x:c r="B6" s="1" t="s">
        <x:v>656</x:v>
      </x:c>
      <x:c r="C6" s="1" t="s">
        <x:v>657</x:v>
      </x:c>
    </x:row>
    <x:row r="7" spans="1:3">
      <x:c r="A7" s="1" t="s">
        <x:v>658</x:v>
      </x:c>
      <x:c r="B7" s="1" t="s">
        <x:v>659</x:v>
      </x:c>
      <x:c r="C7" s="1" t="s">
        <x:v>660</x:v>
      </x:c>
    </x:row>
    <x:row r="8" spans="1:3">
      <x:c r="A8" s="1" t="s">
        <x:v>661</x:v>
      </x:c>
      <x:c r="B8" s="1" t="s">
        <x:v>662</x:v>
      </x:c>
      <x:c r="C8" s="1" t="s">
        <x:v>657</x:v>
      </x:c>
    </x:row>
    <x:row r="9" spans="1:3">
      <x:c r="A9" s="1" t="s">
        <x:v>663</x:v>
      </x:c>
      <x:c r="B9" s="1" t="s">
        <x:v>664</x:v>
      </x:c>
      <x:c r="C9" s="1" t="s">
        <x:v>665</x:v>
      </x:c>
    </x:row>
    <x:row r="10" spans="1:3">
      <x:c r="A10" s="1" t="s">
        <x:v>666</x:v>
      </x:c>
      <x:c r="B10" s="1" t="s">
        <x:v>667</x:v>
      </x:c>
      <x:c r="C10" s="1" t="s">
        <x:v>668</x:v>
      </x:c>
    </x:row>
    <x:row r="11" spans="1:3">
      <x:c r="A11" s="1" t="s">
        <x:v>669</x:v>
      </x:c>
      <x:c r="B11" s="1" t="s">
        <x:v>670</x:v>
      </x:c>
      <x:c r="C11" s="1" t="s">
        <x:v>671</x:v>
      </x:c>
    </x:row>
    <x:row r="12" spans="1:3">
      <x:c r="A12" s="1" t="s">
        <x:v>672</x:v>
      </x:c>
      <x:c r="B12" s="1" t="s">
        <x:v>673</x:v>
      </x:c>
      <x:c r="C12" s="1" t="s">
        <x:v>674</x:v>
      </x:c>
    </x:row>
    <x:row r="13" spans="1:3">
      <x:c r="A13" s="1" t="s">
        <x:v>675</x:v>
      </x:c>
      <x:c r="B13" s="1" t="s">
        <x:v>676</x:v>
      </x:c>
      <x:c r="C13" s="1" t="s">
        <x:v>677</x:v>
      </x:c>
    </x:row>
    <x:row r="14" spans="1:3">
      <x:c r="A14" s="1" t="s">
        <x:v>678</x:v>
      </x:c>
      <x:c r="B14" s="1" t="s">
        <x:v>679</x:v>
      </x:c>
      <x:c r="C14" s="1" t="s">
        <x:v>680</x:v>
      </x:c>
    </x:row>
    <x:row r="15" spans="1:3">
      <x:c r="A15" s="1" t="s">
        <x:v>681</x:v>
      </x:c>
      <x:c r="B15" s="1" t="s">
        <x:v>682</x:v>
      </x:c>
      <x:c r="C15" s="1" t="s">
        <x:v>683</x:v>
      </x:c>
    </x:row>
    <x:row r="16" spans="1:3">
      <x:c r="A16" s="1" t="s">
        <x:v>684</x:v>
      </x:c>
      <x:c r="B16" s="1" t="s">
        <x:v>685</x:v>
      </x:c>
      <x:c r="C16" s="1" t="s">
        <x:v>683</x:v>
      </x:c>
    </x:row>
    <x:row r="17" spans="1:3">
      <x:c r="A17" s="1" t="s">
        <x:v>686</x:v>
      </x:c>
      <x:c r="B17" s="1" t="s">
        <x:v>687</x:v>
      </x:c>
      <x:c r="C17" s="1" t="s">
        <x:v>683</x:v>
      </x:c>
    </x:row>
    <x:row r="18" spans="1:3">
      <x:c r="A18" s="1" t="s">
        <x:v>688</x:v>
      </x:c>
      <x:c r="B18" s="1" t="s">
        <x:v>689</x:v>
      </x:c>
      <x:c r="C18" s="1" t="s">
        <x:v>683</x:v>
      </x:c>
    </x:row>
    <x:row r="19" spans="1:3">
      <x:c r="A19" s="1" t="s">
        <x:v>690</x:v>
      </x:c>
      <x:c r="B19" s="1" t="s">
        <x:v>691</x:v>
      </x:c>
      <x:c r="C19" s="1" t="s">
        <x:v>683</x:v>
      </x:c>
    </x:row>
    <x:row r="20" spans="1:3">
      <x:c r="A20" s="1" t="s">
        <x:v>692</x:v>
      </x:c>
      <x:c r="B20" s="1" t="s">
        <x:v>693</x:v>
      </x:c>
      <x:c r="C20" s="1" t="s">
        <x:v>694</x:v>
      </x:c>
    </x:row>
    <x:row r="21" spans="1:3">
      <x:c r="A21" s="1" t="s">
        <x:v>695</x:v>
      </x:c>
      <x:c r="B21" s="1" t="s">
        <x:v>696</x:v>
      </x:c>
      <x:c r="C21" s="1" t="s">
        <x:v>697</x:v>
      </x:c>
    </x:row>
    <x:row r="22" spans="1:3">
      <x:c r="A22" s="1" t="s">
        <x:v>698</x:v>
      </x:c>
      <x:c r="B22" s="1" t="s">
        <x:v>699</x:v>
      </x:c>
      <x:c r="C22" s="1" t="s">
        <x:v>700</x:v>
      </x:c>
    </x:row>
    <x:row r="23" spans="1:3">
      <x:c r="A23" s="1" t="s">
        <x:v>701</x:v>
      </x:c>
      <x:c r="B23" s="1" t="s">
        <x:v>702</x:v>
      </x:c>
      <x:c r="C23" s="1" t="s">
        <x:v>703</x:v>
      </x:c>
    </x:row>
    <x:row r="24" spans="1:3">
      <x:c r="A24" s="1" t="s">
        <x:v>704</x:v>
      </x:c>
      <x:c r="B24" s="1" t="s">
        <x:v>705</x:v>
      </x:c>
      <x:c r="C24" s="1" t="s">
        <x:v>706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Параметры</vt:lpstr>
      <vt:lpstr>Категории</vt:lpstr>
      <vt:lpstr>По категориям</vt:lpstr>
      <vt:lpstr>Предметы</vt:lpstr>
      <vt:lpstr>Уровни</vt:lpstr>
      <vt:lpstr>Удалённые</vt:lpstr>
      <vt:lpstr>Отклонённые</vt:lpstr>
      <vt:lpstr>Параметры!Print_Area</vt:lpstr>
      <vt:lpstr>Параметры!Print_Titles</vt:lpstr>
      <vt:lpstr>Уровни!Print_Area</vt:lpstr>
      <vt:lpstr>Уровни!Print_Titles</vt:lpstr>
      <vt:lpstr>Предметы!Print_Area</vt:lpstr>
      <vt:lpstr>Предметы!Print_Titles</vt:lpstr>
      <vt:lpstr>Категории!Print_Area</vt:lpstr>
      <vt:lpstr>Категории!Print_Titles</vt:lpstr>
      <vt:lpstr>Удалённые!Print_Area</vt:lpstr>
      <vt:lpstr>Удалённые!Print_Titles</vt:lpstr>
      <vt:lpstr>Отклонённые!Print_Area</vt:lpstr>
      <vt:lpstr>Отклонённые!Print_Titles</vt:lpstr>
      <vt:lpstr>По категориям!Print_Area</vt:lpstr>
      <vt:lpstr>По категориям!Print_Titles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